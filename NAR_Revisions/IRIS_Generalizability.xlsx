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EC_Documents/Lin_lab/RNA_Protein/IRIS_Manuscript/NAR_Revisions/"/>
    </mc:Choice>
  </mc:AlternateContent>
  <xr:revisionPtr revIDLastSave="0" documentId="13_ncr:1_{8657E54C-ABB5-7B49-94CE-FF7C906A33D6}" xr6:coauthVersionLast="47" xr6:coauthVersionMax="47" xr10:uidLastSave="{00000000-0000-0000-0000-000000000000}"/>
  <bookViews>
    <workbookView xWindow="0" yWindow="680" windowWidth="30240" windowHeight="17660" xr2:uid="{4D9A9E60-CCAD-B24D-B85C-F5286651E886}"/>
  </bookViews>
  <sheets>
    <sheet name="Summary" sheetId="1" r:id="rId1"/>
    <sheet name="MS2-2C4Q" sheetId="2" r:id="rId2"/>
    <sheet name="U1A-1URN" sheetId="3" r:id="rId3"/>
    <sheet name="FOX1-2ERR" sheetId="4" r:id="rId4"/>
    <sheet name="PUM1-IM8W" sheetId="5" r:id="rId5"/>
    <sheet name="SRP-1HQ1" sheetId="6" r:id="rId6"/>
  </sheets>
  <definedNames>
    <definedName name="_xlnm._FilterDatabase" localSheetId="2" hidden="1">'U1A-1URN'!$AJ$1:$AO$20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6" l="1"/>
  <c r="AA5" i="6"/>
  <c r="AA4" i="6"/>
  <c r="AA3" i="6"/>
  <c r="AA2" i="6"/>
  <c r="Y1" i="6"/>
  <c r="Q3" i="6"/>
  <c r="Q2" i="6"/>
  <c r="Q15" i="6"/>
  <c r="Q14" i="6"/>
  <c r="Q13" i="6"/>
  <c r="Q12" i="6"/>
  <c r="Q11" i="6"/>
  <c r="Q10" i="6"/>
  <c r="Q9" i="6"/>
  <c r="Q8" i="6"/>
  <c r="Q7" i="6"/>
  <c r="Q6" i="6"/>
  <c r="Q5" i="6"/>
  <c r="Q4" i="6"/>
  <c r="L3" i="2"/>
  <c r="M3" i="2"/>
  <c r="N3" i="2"/>
  <c r="L4" i="2"/>
  <c r="M4" i="2"/>
  <c r="N4" i="2"/>
  <c r="L5" i="2"/>
  <c r="S2" i="2" s="1"/>
  <c r="M5" i="2"/>
  <c r="N5" i="2"/>
  <c r="U6" i="2" s="1"/>
  <c r="L6" i="2"/>
  <c r="S6" i="2" s="1"/>
  <c r="M6" i="2"/>
  <c r="T2" i="2" s="1"/>
  <c r="N6" i="2"/>
  <c r="U2" i="2" s="1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S3" i="2" s="1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T3" i="2" s="1"/>
  <c r="N35" i="2"/>
  <c r="L36" i="2"/>
  <c r="M36" i="2"/>
  <c r="N36" i="2"/>
  <c r="L37" i="2"/>
  <c r="M37" i="2"/>
  <c r="N37" i="2"/>
  <c r="L38" i="2"/>
  <c r="M38" i="2"/>
  <c r="N38" i="2"/>
  <c r="L39" i="2"/>
  <c r="M39" i="2"/>
  <c r="N39" i="2"/>
  <c r="L40" i="2"/>
  <c r="M40" i="2"/>
  <c r="N40" i="2"/>
  <c r="L41" i="2"/>
  <c r="M41" i="2"/>
  <c r="N41" i="2"/>
  <c r="L42" i="2"/>
  <c r="M42" i="2"/>
  <c r="N42" i="2"/>
  <c r="L43" i="2"/>
  <c r="M43" i="2"/>
  <c r="N43" i="2"/>
  <c r="L44" i="2"/>
  <c r="M44" i="2"/>
  <c r="N44" i="2"/>
  <c r="L45" i="2"/>
  <c r="M45" i="2"/>
  <c r="N45" i="2"/>
  <c r="L46" i="2"/>
  <c r="M46" i="2"/>
  <c r="N46" i="2"/>
  <c r="L47" i="2"/>
  <c r="M47" i="2"/>
  <c r="N47" i="2"/>
  <c r="L48" i="2"/>
  <c r="M48" i="2"/>
  <c r="N48" i="2"/>
  <c r="L49" i="2"/>
  <c r="M49" i="2"/>
  <c r="N49" i="2"/>
  <c r="L50" i="2"/>
  <c r="M50" i="2"/>
  <c r="N50" i="2"/>
  <c r="L51" i="2"/>
  <c r="M51" i="2"/>
  <c r="N51" i="2"/>
  <c r="L52" i="2"/>
  <c r="M52" i="2"/>
  <c r="N52" i="2"/>
  <c r="L53" i="2"/>
  <c r="M53" i="2"/>
  <c r="N53" i="2"/>
  <c r="L54" i="2"/>
  <c r="M54" i="2"/>
  <c r="N54" i="2"/>
  <c r="L55" i="2"/>
  <c r="M55" i="2"/>
  <c r="N55" i="2"/>
  <c r="L56" i="2"/>
  <c r="M56" i="2"/>
  <c r="N56" i="2"/>
  <c r="L57" i="2"/>
  <c r="M57" i="2"/>
  <c r="N57" i="2"/>
  <c r="L58" i="2"/>
  <c r="M58" i="2"/>
  <c r="N58" i="2"/>
  <c r="L59" i="2"/>
  <c r="M59" i="2"/>
  <c r="N59" i="2"/>
  <c r="L60" i="2"/>
  <c r="M60" i="2"/>
  <c r="N60" i="2"/>
  <c r="L61" i="2"/>
  <c r="M61" i="2"/>
  <c r="N61" i="2"/>
  <c r="L62" i="2"/>
  <c r="M62" i="2"/>
  <c r="N62" i="2"/>
  <c r="L63" i="2"/>
  <c r="M63" i="2"/>
  <c r="N63" i="2"/>
  <c r="L64" i="2"/>
  <c r="M64" i="2"/>
  <c r="N64" i="2"/>
  <c r="L65" i="2"/>
  <c r="M65" i="2"/>
  <c r="N65" i="2"/>
  <c r="L66" i="2"/>
  <c r="M66" i="2"/>
  <c r="N66" i="2"/>
  <c r="L67" i="2"/>
  <c r="M67" i="2"/>
  <c r="N67" i="2"/>
  <c r="L68" i="2"/>
  <c r="M68" i="2"/>
  <c r="N68" i="2"/>
  <c r="L69" i="2"/>
  <c r="M69" i="2"/>
  <c r="N69" i="2"/>
  <c r="L70" i="2"/>
  <c r="M70" i="2"/>
  <c r="N70" i="2"/>
  <c r="L71" i="2"/>
  <c r="M71" i="2"/>
  <c r="N71" i="2"/>
  <c r="L72" i="2"/>
  <c r="M72" i="2"/>
  <c r="N72" i="2"/>
  <c r="L73" i="2"/>
  <c r="M73" i="2"/>
  <c r="N73" i="2"/>
  <c r="L74" i="2"/>
  <c r="M74" i="2"/>
  <c r="N74" i="2"/>
  <c r="L75" i="2"/>
  <c r="M75" i="2"/>
  <c r="N75" i="2"/>
  <c r="L76" i="2"/>
  <c r="M76" i="2"/>
  <c r="N76" i="2"/>
  <c r="L77" i="2"/>
  <c r="M77" i="2"/>
  <c r="N77" i="2"/>
  <c r="L78" i="2"/>
  <c r="M78" i="2"/>
  <c r="N78" i="2"/>
  <c r="L79" i="2"/>
  <c r="M79" i="2"/>
  <c r="N79" i="2"/>
  <c r="L80" i="2"/>
  <c r="M80" i="2"/>
  <c r="N80" i="2"/>
  <c r="L81" i="2"/>
  <c r="M81" i="2"/>
  <c r="N81" i="2"/>
  <c r="L82" i="2"/>
  <c r="M82" i="2"/>
  <c r="N82" i="2"/>
  <c r="L83" i="2"/>
  <c r="M83" i="2"/>
  <c r="N83" i="2"/>
  <c r="L84" i="2"/>
  <c r="M84" i="2"/>
  <c r="N84" i="2"/>
  <c r="L85" i="2"/>
  <c r="M85" i="2"/>
  <c r="N85" i="2"/>
  <c r="L86" i="2"/>
  <c r="M86" i="2"/>
  <c r="N86" i="2"/>
  <c r="L87" i="2"/>
  <c r="M87" i="2"/>
  <c r="N87" i="2"/>
  <c r="L88" i="2"/>
  <c r="M88" i="2"/>
  <c r="N88" i="2"/>
  <c r="L89" i="2"/>
  <c r="M89" i="2"/>
  <c r="N89" i="2"/>
  <c r="L90" i="2"/>
  <c r="M90" i="2"/>
  <c r="N90" i="2"/>
  <c r="L91" i="2"/>
  <c r="M91" i="2"/>
  <c r="N91" i="2"/>
  <c r="L92" i="2"/>
  <c r="M92" i="2"/>
  <c r="N92" i="2"/>
  <c r="L93" i="2"/>
  <c r="M93" i="2"/>
  <c r="N93" i="2"/>
  <c r="L94" i="2"/>
  <c r="M94" i="2"/>
  <c r="N94" i="2"/>
  <c r="L95" i="2"/>
  <c r="M95" i="2"/>
  <c r="N95" i="2"/>
  <c r="L96" i="2"/>
  <c r="M96" i="2"/>
  <c r="N96" i="2"/>
  <c r="L97" i="2"/>
  <c r="M97" i="2"/>
  <c r="N97" i="2"/>
  <c r="L98" i="2"/>
  <c r="M98" i="2"/>
  <c r="N98" i="2"/>
  <c r="L99" i="2"/>
  <c r="M99" i="2"/>
  <c r="N99" i="2"/>
  <c r="L100" i="2"/>
  <c r="M100" i="2"/>
  <c r="N100" i="2"/>
  <c r="L101" i="2"/>
  <c r="M101" i="2"/>
  <c r="N101" i="2"/>
  <c r="L102" i="2"/>
  <c r="M102" i="2"/>
  <c r="N102" i="2"/>
  <c r="L103" i="2"/>
  <c r="M103" i="2"/>
  <c r="N103" i="2"/>
  <c r="L104" i="2"/>
  <c r="M104" i="2"/>
  <c r="N104" i="2"/>
  <c r="L105" i="2"/>
  <c r="M105" i="2"/>
  <c r="N105" i="2"/>
  <c r="L106" i="2"/>
  <c r="M106" i="2"/>
  <c r="N106" i="2"/>
  <c r="L107" i="2"/>
  <c r="M107" i="2"/>
  <c r="N107" i="2"/>
  <c r="L108" i="2"/>
  <c r="M108" i="2"/>
  <c r="N108" i="2"/>
  <c r="L109" i="2"/>
  <c r="M109" i="2"/>
  <c r="N109" i="2"/>
  <c r="L110" i="2"/>
  <c r="M110" i="2"/>
  <c r="N110" i="2"/>
  <c r="L111" i="2"/>
  <c r="M111" i="2"/>
  <c r="N111" i="2"/>
  <c r="L112" i="2"/>
  <c r="M112" i="2"/>
  <c r="N112" i="2"/>
  <c r="L113" i="2"/>
  <c r="M113" i="2"/>
  <c r="N113" i="2"/>
  <c r="L114" i="2"/>
  <c r="M114" i="2"/>
  <c r="N114" i="2"/>
  <c r="L115" i="2"/>
  <c r="M115" i="2"/>
  <c r="N115" i="2"/>
  <c r="L116" i="2"/>
  <c r="M116" i="2"/>
  <c r="N116" i="2"/>
  <c r="L117" i="2"/>
  <c r="M117" i="2"/>
  <c r="N117" i="2"/>
  <c r="L118" i="2"/>
  <c r="M118" i="2"/>
  <c r="N118" i="2"/>
  <c r="L119" i="2"/>
  <c r="M119" i="2"/>
  <c r="N119" i="2"/>
  <c r="L120" i="2"/>
  <c r="M120" i="2"/>
  <c r="N120" i="2"/>
  <c r="L121" i="2"/>
  <c r="M121" i="2"/>
  <c r="N121" i="2"/>
  <c r="L122" i="2"/>
  <c r="M122" i="2"/>
  <c r="N122" i="2"/>
  <c r="L123" i="2"/>
  <c r="M123" i="2"/>
  <c r="N123" i="2"/>
  <c r="L124" i="2"/>
  <c r="M124" i="2"/>
  <c r="N124" i="2"/>
  <c r="L125" i="2"/>
  <c r="M125" i="2"/>
  <c r="N125" i="2"/>
  <c r="L126" i="2"/>
  <c r="M126" i="2"/>
  <c r="N126" i="2"/>
  <c r="L127" i="2"/>
  <c r="M127" i="2"/>
  <c r="N127" i="2"/>
  <c r="L128" i="2"/>
  <c r="M128" i="2"/>
  <c r="N128" i="2"/>
  <c r="L129" i="2"/>
  <c r="M129" i="2"/>
  <c r="N129" i="2"/>
  <c r="L130" i="2"/>
  <c r="M130" i="2"/>
  <c r="N130" i="2"/>
  <c r="L131" i="2"/>
  <c r="M131" i="2"/>
  <c r="N131" i="2"/>
  <c r="L132" i="2"/>
  <c r="M132" i="2"/>
  <c r="N132" i="2"/>
  <c r="L133" i="2"/>
  <c r="M133" i="2"/>
  <c r="N133" i="2"/>
  <c r="L134" i="2"/>
  <c r="M134" i="2"/>
  <c r="N134" i="2"/>
  <c r="L135" i="2"/>
  <c r="M135" i="2"/>
  <c r="N135" i="2"/>
  <c r="L136" i="2"/>
  <c r="M136" i="2"/>
  <c r="N136" i="2"/>
  <c r="L137" i="2"/>
  <c r="M137" i="2"/>
  <c r="N137" i="2"/>
  <c r="L138" i="2"/>
  <c r="M138" i="2"/>
  <c r="N138" i="2"/>
  <c r="L139" i="2"/>
  <c r="M139" i="2"/>
  <c r="N139" i="2"/>
  <c r="L140" i="2"/>
  <c r="M140" i="2"/>
  <c r="N140" i="2"/>
  <c r="L141" i="2"/>
  <c r="M141" i="2"/>
  <c r="N141" i="2"/>
  <c r="L142" i="2"/>
  <c r="M142" i="2"/>
  <c r="N142" i="2"/>
  <c r="L143" i="2"/>
  <c r="M143" i="2"/>
  <c r="N143" i="2"/>
  <c r="L144" i="2"/>
  <c r="M144" i="2"/>
  <c r="N144" i="2"/>
  <c r="L145" i="2"/>
  <c r="M145" i="2"/>
  <c r="N145" i="2"/>
  <c r="L146" i="2"/>
  <c r="M146" i="2"/>
  <c r="N146" i="2"/>
  <c r="L147" i="2"/>
  <c r="M147" i="2"/>
  <c r="N147" i="2"/>
  <c r="L148" i="2"/>
  <c r="M148" i="2"/>
  <c r="N148" i="2"/>
  <c r="L149" i="2"/>
  <c r="M149" i="2"/>
  <c r="N149" i="2"/>
  <c r="L150" i="2"/>
  <c r="M150" i="2"/>
  <c r="N150" i="2"/>
  <c r="L151" i="2"/>
  <c r="M151" i="2"/>
  <c r="N151" i="2"/>
  <c r="L152" i="2"/>
  <c r="M152" i="2"/>
  <c r="N152" i="2"/>
  <c r="L153" i="2"/>
  <c r="M153" i="2"/>
  <c r="N153" i="2"/>
  <c r="L154" i="2"/>
  <c r="M154" i="2"/>
  <c r="N154" i="2"/>
  <c r="L155" i="2"/>
  <c r="M155" i="2"/>
  <c r="N155" i="2"/>
  <c r="L156" i="2"/>
  <c r="S4" i="2" s="1"/>
  <c r="M156" i="2"/>
  <c r="T4" i="2" s="1"/>
  <c r="N156" i="2"/>
  <c r="U4" i="2" s="1"/>
  <c r="L157" i="2"/>
  <c r="M157" i="2"/>
  <c r="N157" i="2"/>
  <c r="L158" i="2"/>
  <c r="M158" i="2"/>
  <c r="N158" i="2"/>
  <c r="L159" i="2"/>
  <c r="M159" i="2"/>
  <c r="N159" i="2"/>
  <c r="L160" i="2"/>
  <c r="M160" i="2"/>
  <c r="N160" i="2"/>
  <c r="L161" i="2"/>
  <c r="M161" i="2"/>
  <c r="N161" i="2"/>
  <c r="L162" i="2"/>
  <c r="M162" i="2"/>
  <c r="N162" i="2"/>
  <c r="L163" i="2"/>
  <c r="M163" i="2"/>
  <c r="N163" i="2"/>
  <c r="L164" i="2"/>
  <c r="M164" i="2"/>
  <c r="N164" i="2"/>
  <c r="L165" i="2"/>
  <c r="M165" i="2"/>
  <c r="N165" i="2"/>
  <c r="L166" i="2"/>
  <c r="M166" i="2"/>
  <c r="N166" i="2"/>
  <c r="L167" i="2"/>
  <c r="M167" i="2"/>
  <c r="N167" i="2"/>
  <c r="L168" i="2"/>
  <c r="M168" i="2"/>
  <c r="N168" i="2"/>
  <c r="L169" i="2"/>
  <c r="M169" i="2"/>
  <c r="N169" i="2"/>
  <c r="L170" i="2"/>
  <c r="M170" i="2"/>
  <c r="N170" i="2"/>
  <c r="L171" i="2"/>
  <c r="M171" i="2"/>
  <c r="N171" i="2"/>
  <c r="L172" i="2"/>
  <c r="M172" i="2"/>
  <c r="N172" i="2"/>
  <c r="L173" i="2"/>
  <c r="M173" i="2"/>
  <c r="N173" i="2"/>
  <c r="L174" i="2"/>
  <c r="M174" i="2"/>
  <c r="N174" i="2"/>
  <c r="L175" i="2"/>
  <c r="M175" i="2"/>
  <c r="N175" i="2"/>
  <c r="L176" i="2"/>
  <c r="M176" i="2"/>
  <c r="N176" i="2"/>
  <c r="L177" i="2"/>
  <c r="M177" i="2"/>
  <c r="N177" i="2"/>
  <c r="L178" i="2"/>
  <c r="M178" i="2"/>
  <c r="N178" i="2"/>
  <c r="L179" i="2"/>
  <c r="M179" i="2"/>
  <c r="N179" i="2"/>
  <c r="L180" i="2"/>
  <c r="M180" i="2"/>
  <c r="N180" i="2"/>
  <c r="L181" i="2"/>
  <c r="M181" i="2"/>
  <c r="N181" i="2"/>
  <c r="L182" i="2"/>
  <c r="M182" i="2"/>
  <c r="N182" i="2"/>
  <c r="L183" i="2"/>
  <c r="M183" i="2"/>
  <c r="N183" i="2"/>
  <c r="L184" i="2"/>
  <c r="M184" i="2"/>
  <c r="N184" i="2"/>
  <c r="L185" i="2"/>
  <c r="M185" i="2"/>
  <c r="N185" i="2"/>
  <c r="L186" i="2"/>
  <c r="M186" i="2"/>
  <c r="N186" i="2"/>
  <c r="L187" i="2"/>
  <c r="M187" i="2"/>
  <c r="N187" i="2"/>
  <c r="L188" i="2"/>
  <c r="M188" i="2"/>
  <c r="N188" i="2"/>
  <c r="L189" i="2"/>
  <c r="M189" i="2"/>
  <c r="N189" i="2"/>
  <c r="L190" i="2"/>
  <c r="M190" i="2"/>
  <c r="N190" i="2"/>
  <c r="L191" i="2"/>
  <c r="M191" i="2"/>
  <c r="N191" i="2"/>
  <c r="L192" i="2"/>
  <c r="M192" i="2"/>
  <c r="N192" i="2"/>
  <c r="L193" i="2"/>
  <c r="M193" i="2"/>
  <c r="N193" i="2"/>
  <c r="L194" i="2"/>
  <c r="M194" i="2"/>
  <c r="N194" i="2"/>
  <c r="L195" i="2"/>
  <c r="M195" i="2"/>
  <c r="N195" i="2"/>
  <c r="L196" i="2"/>
  <c r="M196" i="2"/>
  <c r="N196" i="2"/>
  <c r="L197" i="2"/>
  <c r="M197" i="2"/>
  <c r="N197" i="2"/>
  <c r="L198" i="2"/>
  <c r="M198" i="2"/>
  <c r="N198" i="2"/>
  <c r="L199" i="2"/>
  <c r="M199" i="2"/>
  <c r="N199" i="2"/>
  <c r="L200" i="2"/>
  <c r="M200" i="2"/>
  <c r="N200" i="2"/>
  <c r="L201" i="2"/>
  <c r="M201" i="2"/>
  <c r="N201" i="2"/>
  <c r="L202" i="2"/>
  <c r="M202" i="2"/>
  <c r="N202" i="2"/>
  <c r="L203" i="2"/>
  <c r="M203" i="2"/>
  <c r="N203" i="2"/>
  <c r="L204" i="2"/>
  <c r="M204" i="2"/>
  <c r="N204" i="2"/>
  <c r="L205" i="2"/>
  <c r="M205" i="2"/>
  <c r="N205" i="2"/>
  <c r="L206" i="2"/>
  <c r="M206" i="2"/>
  <c r="N206" i="2"/>
  <c r="L207" i="2"/>
  <c r="M207" i="2"/>
  <c r="N207" i="2"/>
  <c r="L208" i="2"/>
  <c r="M208" i="2"/>
  <c r="N208" i="2"/>
  <c r="L209" i="2"/>
  <c r="M209" i="2"/>
  <c r="N209" i="2"/>
  <c r="L210" i="2"/>
  <c r="M210" i="2"/>
  <c r="N210" i="2"/>
  <c r="L211" i="2"/>
  <c r="M211" i="2"/>
  <c r="N211" i="2"/>
  <c r="L212" i="2"/>
  <c r="M212" i="2"/>
  <c r="N212" i="2"/>
  <c r="L213" i="2"/>
  <c r="M213" i="2"/>
  <c r="N213" i="2"/>
  <c r="L214" i="2"/>
  <c r="M214" i="2"/>
  <c r="N214" i="2"/>
  <c r="L215" i="2"/>
  <c r="M215" i="2"/>
  <c r="N215" i="2"/>
  <c r="L216" i="2"/>
  <c r="M216" i="2"/>
  <c r="N216" i="2"/>
  <c r="L217" i="2"/>
  <c r="M217" i="2"/>
  <c r="N217" i="2"/>
  <c r="L218" i="2"/>
  <c r="M218" i="2"/>
  <c r="N218" i="2"/>
  <c r="L219" i="2"/>
  <c r="M219" i="2"/>
  <c r="N219" i="2"/>
  <c r="L220" i="2"/>
  <c r="M220" i="2"/>
  <c r="N220" i="2"/>
  <c r="L221" i="2"/>
  <c r="M221" i="2"/>
  <c r="N221" i="2"/>
  <c r="L222" i="2"/>
  <c r="M222" i="2"/>
  <c r="N222" i="2"/>
  <c r="L223" i="2"/>
  <c r="M223" i="2"/>
  <c r="N223" i="2"/>
  <c r="L224" i="2"/>
  <c r="M224" i="2"/>
  <c r="N224" i="2"/>
  <c r="L225" i="2"/>
  <c r="M225" i="2"/>
  <c r="N225" i="2"/>
  <c r="L226" i="2"/>
  <c r="M226" i="2"/>
  <c r="N226" i="2"/>
  <c r="L227" i="2"/>
  <c r="M227" i="2"/>
  <c r="N227" i="2"/>
  <c r="L228" i="2"/>
  <c r="M228" i="2"/>
  <c r="N228" i="2"/>
  <c r="L229" i="2"/>
  <c r="M229" i="2"/>
  <c r="N229" i="2"/>
  <c r="L230" i="2"/>
  <c r="M230" i="2"/>
  <c r="N230" i="2"/>
  <c r="L231" i="2"/>
  <c r="M231" i="2"/>
  <c r="N231" i="2"/>
  <c r="L232" i="2"/>
  <c r="M232" i="2"/>
  <c r="N232" i="2"/>
  <c r="L233" i="2"/>
  <c r="M233" i="2"/>
  <c r="N233" i="2"/>
  <c r="L234" i="2"/>
  <c r="M234" i="2"/>
  <c r="N234" i="2"/>
  <c r="L235" i="2"/>
  <c r="M235" i="2"/>
  <c r="N235" i="2"/>
  <c r="L236" i="2"/>
  <c r="M236" i="2"/>
  <c r="N236" i="2"/>
  <c r="L237" i="2"/>
  <c r="M237" i="2"/>
  <c r="N237" i="2"/>
  <c r="L238" i="2"/>
  <c r="M238" i="2"/>
  <c r="N238" i="2"/>
  <c r="L239" i="2"/>
  <c r="M239" i="2"/>
  <c r="N239" i="2"/>
  <c r="L240" i="2"/>
  <c r="M240" i="2"/>
  <c r="N240" i="2"/>
  <c r="L241" i="2"/>
  <c r="M241" i="2"/>
  <c r="N241" i="2"/>
  <c r="L242" i="2"/>
  <c r="M242" i="2"/>
  <c r="N242" i="2"/>
  <c r="L243" i="2"/>
  <c r="M243" i="2"/>
  <c r="N243" i="2"/>
  <c r="L244" i="2"/>
  <c r="M244" i="2"/>
  <c r="N244" i="2"/>
  <c r="L245" i="2"/>
  <c r="M245" i="2"/>
  <c r="N245" i="2"/>
  <c r="L246" i="2"/>
  <c r="M246" i="2"/>
  <c r="N246" i="2"/>
  <c r="L247" i="2"/>
  <c r="M247" i="2"/>
  <c r="N247" i="2"/>
  <c r="L248" i="2"/>
  <c r="M248" i="2"/>
  <c r="N248" i="2"/>
  <c r="L249" i="2"/>
  <c r="M249" i="2"/>
  <c r="N249" i="2"/>
  <c r="L250" i="2"/>
  <c r="M250" i="2"/>
  <c r="N250" i="2"/>
  <c r="L251" i="2"/>
  <c r="M251" i="2"/>
  <c r="N251" i="2"/>
  <c r="L252" i="2"/>
  <c r="M252" i="2"/>
  <c r="N252" i="2"/>
  <c r="L253" i="2"/>
  <c r="M253" i="2"/>
  <c r="N253" i="2"/>
  <c r="L254" i="2"/>
  <c r="M254" i="2"/>
  <c r="N254" i="2"/>
  <c r="L255" i="2"/>
  <c r="M255" i="2"/>
  <c r="N255" i="2"/>
  <c r="L256" i="2"/>
  <c r="M256" i="2"/>
  <c r="N256" i="2"/>
  <c r="L257" i="2"/>
  <c r="M257" i="2"/>
  <c r="N257" i="2"/>
  <c r="L258" i="2"/>
  <c r="M258" i="2"/>
  <c r="N258" i="2"/>
  <c r="L259" i="2"/>
  <c r="M259" i="2"/>
  <c r="N259" i="2"/>
  <c r="L260" i="2"/>
  <c r="M260" i="2"/>
  <c r="N260" i="2"/>
  <c r="L261" i="2"/>
  <c r="M261" i="2"/>
  <c r="N261" i="2"/>
  <c r="L262" i="2"/>
  <c r="M262" i="2"/>
  <c r="N262" i="2"/>
  <c r="L263" i="2"/>
  <c r="M263" i="2"/>
  <c r="N263" i="2"/>
  <c r="L264" i="2"/>
  <c r="M264" i="2"/>
  <c r="N264" i="2"/>
  <c r="L265" i="2"/>
  <c r="M265" i="2"/>
  <c r="N265" i="2"/>
  <c r="L266" i="2"/>
  <c r="M266" i="2"/>
  <c r="N266" i="2"/>
  <c r="L267" i="2"/>
  <c r="M267" i="2"/>
  <c r="N267" i="2"/>
  <c r="L268" i="2"/>
  <c r="M268" i="2"/>
  <c r="N268" i="2"/>
  <c r="L269" i="2"/>
  <c r="M269" i="2"/>
  <c r="N269" i="2"/>
  <c r="L270" i="2"/>
  <c r="M270" i="2"/>
  <c r="N270" i="2"/>
  <c r="L271" i="2"/>
  <c r="M271" i="2"/>
  <c r="N271" i="2"/>
  <c r="L272" i="2"/>
  <c r="M272" i="2"/>
  <c r="N272" i="2"/>
  <c r="L273" i="2"/>
  <c r="M273" i="2"/>
  <c r="N273" i="2"/>
  <c r="L274" i="2"/>
  <c r="M274" i="2"/>
  <c r="N274" i="2"/>
  <c r="L275" i="2"/>
  <c r="M275" i="2"/>
  <c r="N275" i="2"/>
  <c r="L276" i="2"/>
  <c r="M276" i="2"/>
  <c r="N276" i="2"/>
  <c r="L277" i="2"/>
  <c r="M277" i="2"/>
  <c r="N277" i="2"/>
  <c r="L278" i="2"/>
  <c r="M278" i="2"/>
  <c r="N278" i="2"/>
  <c r="L279" i="2"/>
  <c r="M279" i="2"/>
  <c r="N279" i="2"/>
  <c r="L280" i="2"/>
  <c r="M280" i="2"/>
  <c r="N280" i="2"/>
  <c r="L281" i="2"/>
  <c r="M281" i="2"/>
  <c r="N281" i="2"/>
  <c r="L282" i="2"/>
  <c r="M282" i="2"/>
  <c r="N282" i="2"/>
  <c r="L283" i="2"/>
  <c r="M283" i="2"/>
  <c r="N283" i="2"/>
  <c r="L284" i="2"/>
  <c r="M284" i="2"/>
  <c r="N284" i="2"/>
  <c r="L285" i="2"/>
  <c r="M285" i="2"/>
  <c r="N285" i="2"/>
  <c r="L286" i="2"/>
  <c r="M286" i="2"/>
  <c r="N286" i="2"/>
  <c r="L287" i="2"/>
  <c r="M287" i="2"/>
  <c r="N287" i="2"/>
  <c r="L288" i="2"/>
  <c r="M288" i="2"/>
  <c r="N288" i="2"/>
  <c r="L289" i="2"/>
  <c r="M289" i="2"/>
  <c r="N289" i="2"/>
  <c r="L290" i="2"/>
  <c r="M290" i="2"/>
  <c r="N290" i="2"/>
  <c r="L291" i="2"/>
  <c r="M291" i="2"/>
  <c r="N291" i="2"/>
  <c r="L292" i="2"/>
  <c r="M292" i="2"/>
  <c r="N292" i="2"/>
  <c r="L293" i="2"/>
  <c r="M293" i="2"/>
  <c r="N293" i="2"/>
  <c r="L294" i="2"/>
  <c r="M294" i="2"/>
  <c r="N294" i="2"/>
  <c r="L295" i="2"/>
  <c r="M295" i="2"/>
  <c r="N295" i="2"/>
  <c r="L296" i="2"/>
  <c r="M296" i="2"/>
  <c r="N296" i="2"/>
  <c r="L297" i="2"/>
  <c r="M297" i="2"/>
  <c r="N297" i="2"/>
  <c r="L298" i="2"/>
  <c r="M298" i="2"/>
  <c r="N298" i="2"/>
  <c r="L299" i="2"/>
  <c r="M299" i="2"/>
  <c r="N299" i="2"/>
  <c r="L300" i="2"/>
  <c r="M300" i="2"/>
  <c r="N300" i="2"/>
  <c r="L301" i="2"/>
  <c r="M301" i="2"/>
  <c r="N301" i="2"/>
  <c r="L302" i="2"/>
  <c r="M302" i="2"/>
  <c r="N302" i="2"/>
  <c r="L303" i="2"/>
  <c r="M303" i="2"/>
  <c r="N303" i="2"/>
  <c r="L304" i="2"/>
  <c r="M304" i="2"/>
  <c r="N304" i="2"/>
  <c r="L305" i="2"/>
  <c r="M305" i="2"/>
  <c r="N305" i="2"/>
  <c r="L306" i="2"/>
  <c r="M306" i="2"/>
  <c r="N306" i="2"/>
  <c r="L307" i="2"/>
  <c r="M307" i="2"/>
  <c r="N307" i="2"/>
  <c r="L308" i="2"/>
  <c r="M308" i="2"/>
  <c r="N308" i="2"/>
  <c r="L309" i="2"/>
  <c r="M309" i="2"/>
  <c r="N309" i="2"/>
  <c r="L310" i="2"/>
  <c r="M310" i="2"/>
  <c r="N310" i="2"/>
  <c r="L311" i="2"/>
  <c r="M311" i="2"/>
  <c r="N311" i="2"/>
  <c r="L312" i="2"/>
  <c r="M312" i="2"/>
  <c r="N312" i="2"/>
  <c r="L313" i="2"/>
  <c r="M313" i="2"/>
  <c r="N313" i="2"/>
  <c r="L314" i="2"/>
  <c r="M314" i="2"/>
  <c r="N314" i="2"/>
  <c r="L315" i="2"/>
  <c r="M315" i="2"/>
  <c r="N315" i="2"/>
  <c r="L316" i="2"/>
  <c r="M316" i="2"/>
  <c r="N316" i="2"/>
  <c r="L317" i="2"/>
  <c r="M317" i="2"/>
  <c r="N317" i="2"/>
  <c r="L318" i="2"/>
  <c r="M318" i="2"/>
  <c r="N318" i="2"/>
  <c r="L319" i="2"/>
  <c r="M319" i="2"/>
  <c r="N319" i="2"/>
  <c r="L320" i="2"/>
  <c r="M320" i="2"/>
  <c r="N320" i="2"/>
  <c r="L321" i="2"/>
  <c r="M321" i="2"/>
  <c r="N321" i="2"/>
  <c r="L322" i="2"/>
  <c r="M322" i="2"/>
  <c r="N322" i="2"/>
  <c r="L323" i="2"/>
  <c r="M323" i="2"/>
  <c r="N323" i="2"/>
  <c r="L324" i="2"/>
  <c r="M324" i="2"/>
  <c r="N324" i="2"/>
  <c r="L325" i="2"/>
  <c r="M325" i="2"/>
  <c r="N325" i="2"/>
  <c r="L326" i="2"/>
  <c r="M326" i="2"/>
  <c r="N326" i="2"/>
  <c r="L327" i="2"/>
  <c r="M327" i="2"/>
  <c r="N327" i="2"/>
  <c r="L328" i="2"/>
  <c r="M328" i="2"/>
  <c r="N328" i="2"/>
  <c r="L329" i="2"/>
  <c r="M329" i="2"/>
  <c r="N329" i="2"/>
  <c r="L330" i="2"/>
  <c r="M330" i="2"/>
  <c r="N330" i="2"/>
  <c r="L331" i="2"/>
  <c r="M331" i="2"/>
  <c r="N331" i="2"/>
  <c r="L332" i="2"/>
  <c r="M332" i="2"/>
  <c r="N332" i="2"/>
  <c r="L333" i="2"/>
  <c r="M333" i="2"/>
  <c r="N333" i="2"/>
  <c r="L334" i="2"/>
  <c r="M334" i="2"/>
  <c r="N334" i="2"/>
  <c r="L335" i="2"/>
  <c r="M335" i="2"/>
  <c r="N335" i="2"/>
  <c r="L336" i="2"/>
  <c r="M336" i="2"/>
  <c r="N336" i="2"/>
  <c r="L337" i="2"/>
  <c r="M337" i="2"/>
  <c r="N337" i="2"/>
  <c r="L338" i="2"/>
  <c r="M338" i="2"/>
  <c r="N338" i="2"/>
  <c r="L339" i="2"/>
  <c r="M339" i="2"/>
  <c r="N339" i="2"/>
  <c r="L340" i="2"/>
  <c r="M340" i="2"/>
  <c r="N340" i="2"/>
  <c r="L341" i="2"/>
  <c r="M341" i="2"/>
  <c r="N341" i="2"/>
  <c r="L342" i="2"/>
  <c r="M342" i="2"/>
  <c r="N342" i="2"/>
  <c r="L343" i="2"/>
  <c r="M343" i="2"/>
  <c r="N343" i="2"/>
  <c r="L344" i="2"/>
  <c r="M344" i="2"/>
  <c r="N344" i="2"/>
  <c r="L345" i="2"/>
  <c r="M345" i="2"/>
  <c r="N345" i="2"/>
  <c r="L346" i="2"/>
  <c r="M346" i="2"/>
  <c r="N346" i="2"/>
  <c r="L347" i="2"/>
  <c r="M347" i="2"/>
  <c r="N347" i="2"/>
  <c r="L348" i="2"/>
  <c r="S5" i="2" s="1"/>
  <c r="M348" i="2"/>
  <c r="N348" i="2"/>
  <c r="L349" i="2"/>
  <c r="M349" i="2"/>
  <c r="N349" i="2"/>
  <c r="L350" i="2"/>
  <c r="M350" i="2"/>
  <c r="T5" i="2" s="1"/>
  <c r="N350" i="2"/>
  <c r="U5" i="2" s="1"/>
  <c r="L351" i="2"/>
  <c r="M351" i="2"/>
  <c r="N351" i="2"/>
  <c r="L352" i="2"/>
  <c r="M352" i="2"/>
  <c r="N352" i="2"/>
  <c r="L353" i="2"/>
  <c r="M353" i="2"/>
  <c r="N353" i="2"/>
  <c r="L354" i="2"/>
  <c r="M354" i="2"/>
  <c r="N354" i="2"/>
  <c r="L355" i="2"/>
  <c r="M355" i="2"/>
  <c r="N355" i="2"/>
  <c r="L356" i="2"/>
  <c r="M356" i="2"/>
  <c r="N356" i="2"/>
  <c r="L357" i="2"/>
  <c r="M357" i="2"/>
  <c r="N357" i="2"/>
  <c r="L358" i="2"/>
  <c r="M358" i="2"/>
  <c r="N358" i="2"/>
  <c r="L359" i="2"/>
  <c r="M359" i="2"/>
  <c r="N359" i="2"/>
  <c r="L360" i="2"/>
  <c r="M360" i="2"/>
  <c r="N360" i="2"/>
  <c r="L361" i="2"/>
  <c r="M361" i="2"/>
  <c r="N361" i="2"/>
  <c r="L362" i="2"/>
  <c r="M362" i="2"/>
  <c r="N362" i="2"/>
  <c r="L363" i="2"/>
  <c r="M363" i="2"/>
  <c r="N363" i="2"/>
  <c r="L364" i="2"/>
  <c r="M364" i="2"/>
  <c r="N364" i="2"/>
  <c r="L365" i="2"/>
  <c r="M365" i="2"/>
  <c r="N365" i="2"/>
  <c r="L366" i="2"/>
  <c r="M366" i="2"/>
  <c r="N366" i="2"/>
  <c r="L367" i="2"/>
  <c r="M367" i="2"/>
  <c r="N367" i="2"/>
  <c r="L368" i="2"/>
  <c r="M368" i="2"/>
  <c r="N368" i="2"/>
  <c r="L369" i="2"/>
  <c r="M369" i="2"/>
  <c r="N369" i="2"/>
  <c r="L370" i="2"/>
  <c r="M370" i="2"/>
  <c r="N370" i="2"/>
  <c r="L371" i="2"/>
  <c r="M371" i="2"/>
  <c r="N371" i="2"/>
  <c r="L372" i="2"/>
  <c r="M372" i="2"/>
  <c r="N372" i="2"/>
  <c r="L373" i="2"/>
  <c r="M373" i="2"/>
  <c r="N373" i="2"/>
  <c r="L374" i="2"/>
  <c r="M374" i="2"/>
  <c r="N374" i="2"/>
  <c r="L375" i="2"/>
  <c r="M375" i="2"/>
  <c r="N375" i="2"/>
  <c r="L376" i="2"/>
  <c r="M376" i="2"/>
  <c r="N376" i="2"/>
  <c r="L377" i="2"/>
  <c r="M377" i="2"/>
  <c r="N377" i="2"/>
  <c r="L378" i="2"/>
  <c r="M378" i="2"/>
  <c r="N378" i="2"/>
  <c r="L379" i="2"/>
  <c r="M379" i="2"/>
  <c r="N379" i="2"/>
  <c r="L380" i="2"/>
  <c r="M380" i="2"/>
  <c r="N380" i="2"/>
  <c r="L381" i="2"/>
  <c r="M381" i="2"/>
  <c r="N381" i="2"/>
  <c r="L382" i="2"/>
  <c r="M382" i="2"/>
  <c r="N382" i="2"/>
  <c r="L383" i="2"/>
  <c r="M383" i="2"/>
  <c r="N383" i="2"/>
  <c r="L384" i="2"/>
  <c r="M384" i="2"/>
  <c r="N384" i="2"/>
  <c r="L385" i="2"/>
  <c r="M385" i="2"/>
  <c r="N385" i="2"/>
  <c r="L386" i="2"/>
  <c r="M386" i="2"/>
  <c r="N386" i="2"/>
  <c r="L387" i="2"/>
  <c r="M387" i="2"/>
  <c r="N387" i="2"/>
  <c r="L388" i="2"/>
  <c r="M388" i="2"/>
  <c r="N388" i="2"/>
  <c r="L389" i="2"/>
  <c r="M389" i="2"/>
  <c r="N389" i="2"/>
  <c r="L390" i="2"/>
  <c r="M390" i="2"/>
  <c r="N390" i="2"/>
  <c r="L391" i="2"/>
  <c r="M391" i="2"/>
  <c r="N391" i="2"/>
  <c r="L392" i="2"/>
  <c r="M392" i="2"/>
  <c r="N392" i="2"/>
  <c r="L393" i="2"/>
  <c r="M393" i="2"/>
  <c r="N393" i="2"/>
  <c r="L394" i="2"/>
  <c r="M394" i="2"/>
  <c r="N394" i="2"/>
  <c r="L395" i="2"/>
  <c r="M395" i="2"/>
  <c r="N395" i="2"/>
  <c r="L396" i="2"/>
  <c r="M396" i="2"/>
  <c r="N396" i="2"/>
  <c r="L397" i="2"/>
  <c r="M397" i="2"/>
  <c r="N397" i="2"/>
  <c r="L398" i="2"/>
  <c r="M398" i="2"/>
  <c r="N398" i="2"/>
  <c r="L399" i="2"/>
  <c r="M399" i="2"/>
  <c r="N399" i="2"/>
  <c r="L400" i="2"/>
  <c r="M400" i="2"/>
  <c r="N400" i="2"/>
  <c r="L401" i="2"/>
  <c r="M401" i="2"/>
  <c r="N401" i="2"/>
  <c r="L402" i="2"/>
  <c r="M402" i="2"/>
  <c r="N402" i="2"/>
  <c r="L403" i="2"/>
  <c r="M403" i="2"/>
  <c r="N403" i="2"/>
  <c r="L404" i="2"/>
  <c r="M404" i="2"/>
  <c r="N404" i="2"/>
  <c r="L405" i="2"/>
  <c r="M405" i="2"/>
  <c r="N405" i="2"/>
  <c r="L406" i="2"/>
  <c r="M406" i="2"/>
  <c r="N406" i="2"/>
  <c r="L407" i="2"/>
  <c r="M407" i="2"/>
  <c r="N407" i="2"/>
  <c r="L408" i="2"/>
  <c r="M408" i="2"/>
  <c r="N408" i="2"/>
  <c r="L409" i="2"/>
  <c r="M409" i="2"/>
  <c r="N409" i="2"/>
  <c r="L410" i="2"/>
  <c r="M410" i="2"/>
  <c r="N410" i="2"/>
  <c r="L411" i="2"/>
  <c r="M411" i="2"/>
  <c r="N411" i="2"/>
  <c r="L412" i="2"/>
  <c r="M412" i="2"/>
  <c r="N412" i="2"/>
  <c r="L413" i="2"/>
  <c r="M413" i="2"/>
  <c r="N413" i="2"/>
  <c r="L414" i="2"/>
  <c r="M414" i="2"/>
  <c r="N414" i="2"/>
  <c r="L415" i="2"/>
  <c r="M415" i="2"/>
  <c r="N415" i="2"/>
  <c r="L416" i="2"/>
  <c r="M416" i="2"/>
  <c r="N416" i="2"/>
  <c r="L417" i="2"/>
  <c r="M417" i="2"/>
  <c r="N417" i="2"/>
  <c r="L418" i="2"/>
  <c r="M418" i="2"/>
  <c r="N418" i="2"/>
  <c r="L419" i="2"/>
  <c r="M419" i="2"/>
  <c r="N419" i="2"/>
  <c r="L420" i="2"/>
  <c r="M420" i="2"/>
  <c r="N420" i="2"/>
  <c r="L421" i="2"/>
  <c r="M421" i="2"/>
  <c r="N421" i="2"/>
  <c r="L422" i="2"/>
  <c r="M422" i="2"/>
  <c r="N422" i="2"/>
  <c r="L423" i="2"/>
  <c r="M423" i="2"/>
  <c r="N423" i="2"/>
  <c r="L424" i="2"/>
  <c r="M424" i="2"/>
  <c r="N424" i="2"/>
  <c r="L425" i="2"/>
  <c r="M425" i="2"/>
  <c r="N425" i="2"/>
  <c r="L426" i="2"/>
  <c r="M426" i="2"/>
  <c r="N426" i="2"/>
  <c r="L427" i="2"/>
  <c r="M427" i="2"/>
  <c r="N427" i="2"/>
  <c r="L428" i="2"/>
  <c r="M428" i="2"/>
  <c r="N428" i="2"/>
  <c r="L429" i="2"/>
  <c r="M429" i="2"/>
  <c r="N429" i="2"/>
  <c r="L430" i="2"/>
  <c r="M430" i="2"/>
  <c r="N430" i="2"/>
  <c r="L431" i="2"/>
  <c r="M431" i="2"/>
  <c r="N431" i="2"/>
  <c r="L432" i="2"/>
  <c r="M432" i="2"/>
  <c r="N432" i="2"/>
  <c r="L433" i="2"/>
  <c r="M433" i="2"/>
  <c r="N433" i="2"/>
  <c r="L434" i="2"/>
  <c r="M434" i="2"/>
  <c r="N434" i="2"/>
  <c r="L435" i="2"/>
  <c r="M435" i="2"/>
  <c r="N435" i="2"/>
  <c r="L436" i="2"/>
  <c r="M436" i="2"/>
  <c r="N436" i="2"/>
  <c r="L437" i="2"/>
  <c r="M437" i="2"/>
  <c r="N437" i="2"/>
  <c r="L438" i="2"/>
  <c r="M438" i="2"/>
  <c r="N438" i="2"/>
  <c r="L439" i="2"/>
  <c r="M439" i="2"/>
  <c r="N439" i="2"/>
  <c r="L440" i="2"/>
  <c r="M440" i="2"/>
  <c r="N440" i="2"/>
  <c r="L441" i="2"/>
  <c r="M441" i="2"/>
  <c r="N441" i="2"/>
  <c r="L442" i="2"/>
  <c r="M442" i="2"/>
  <c r="N442" i="2"/>
  <c r="L443" i="2"/>
  <c r="M443" i="2"/>
  <c r="N443" i="2"/>
  <c r="L444" i="2"/>
  <c r="M444" i="2"/>
  <c r="N444" i="2"/>
  <c r="L445" i="2"/>
  <c r="M445" i="2"/>
  <c r="N445" i="2"/>
  <c r="L446" i="2"/>
  <c r="M446" i="2"/>
  <c r="N446" i="2"/>
  <c r="L447" i="2"/>
  <c r="M447" i="2"/>
  <c r="N447" i="2"/>
  <c r="L448" i="2"/>
  <c r="M448" i="2"/>
  <c r="N448" i="2"/>
  <c r="L449" i="2"/>
  <c r="M449" i="2"/>
  <c r="N449" i="2"/>
  <c r="L450" i="2"/>
  <c r="M450" i="2"/>
  <c r="N450" i="2"/>
  <c r="L451" i="2"/>
  <c r="M451" i="2"/>
  <c r="N451" i="2"/>
  <c r="L452" i="2"/>
  <c r="M452" i="2"/>
  <c r="N452" i="2"/>
  <c r="L453" i="2"/>
  <c r="M453" i="2"/>
  <c r="N453" i="2"/>
  <c r="L454" i="2"/>
  <c r="M454" i="2"/>
  <c r="N454" i="2"/>
  <c r="L455" i="2"/>
  <c r="M455" i="2"/>
  <c r="N455" i="2"/>
  <c r="L456" i="2"/>
  <c r="M456" i="2"/>
  <c r="N456" i="2"/>
  <c r="L457" i="2"/>
  <c r="M457" i="2"/>
  <c r="N457" i="2"/>
  <c r="L458" i="2"/>
  <c r="M458" i="2"/>
  <c r="N458" i="2"/>
  <c r="L459" i="2"/>
  <c r="M459" i="2"/>
  <c r="N459" i="2"/>
  <c r="L460" i="2"/>
  <c r="M460" i="2"/>
  <c r="N460" i="2"/>
  <c r="L461" i="2"/>
  <c r="M461" i="2"/>
  <c r="N461" i="2"/>
  <c r="L462" i="2"/>
  <c r="M462" i="2"/>
  <c r="N462" i="2"/>
  <c r="L463" i="2"/>
  <c r="M463" i="2"/>
  <c r="N463" i="2"/>
  <c r="L464" i="2"/>
  <c r="M464" i="2"/>
  <c r="N464" i="2"/>
  <c r="L465" i="2"/>
  <c r="M465" i="2"/>
  <c r="N465" i="2"/>
  <c r="L466" i="2"/>
  <c r="M466" i="2"/>
  <c r="N466" i="2"/>
  <c r="L467" i="2"/>
  <c r="M467" i="2"/>
  <c r="N467" i="2"/>
  <c r="L468" i="2"/>
  <c r="M468" i="2"/>
  <c r="N468" i="2"/>
  <c r="L469" i="2"/>
  <c r="M469" i="2"/>
  <c r="N469" i="2"/>
  <c r="L470" i="2"/>
  <c r="M470" i="2"/>
  <c r="N470" i="2"/>
  <c r="L471" i="2"/>
  <c r="M471" i="2"/>
  <c r="N471" i="2"/>
  <c r="L472" i="2"/>
  <c r="M472" i="2"/>
  <c r="N472" i="2"/>
  <c r="L473" i="2"/>
  <c r="M473" i="2"/>
  <c r="N473" i="2"/>
  <c r="L474" i="2"/>
  <c r="M474" i="2"/>
  <c r="N474" i="2"/>
  <c r="L475" i="2"/>
  <c r="M475" i="2"/>
  <c r="N475" i="2"/>
  <c r="L476" i="2"/>
  <c r="M476" i="2"/>
  <c r="N476" i="2"/>
  <c r="L477" i="2"/>
  <c r="M477" i="2"/>
  <c r="N477" i="2"/>
  <c r="L478" i="2"/>
  <c r="M478" i="2"/>
  <c r="N478" i="2"/>
  <c r="L479" i="2"/>
  <c r="M479" i="2"/>
  <c r="N479" i="2"/>
  <c r="L480" i="2"/>
  <c r="M480" i="2"/>
  <c r="N480" i="2"/>
  <c r="L481" i="2"/>
  <c r="M481" i="2"/>
  <c r="N481" i="2"/>
  <c r="L482" i="2"/>
  <c r="M482" i="2"/>
  <c r="N482" i="2"/>
  <c r="L483" i="2"/>
  <c r="M483" i="2"/>
  <c r="N483" i="2"/>
  <c r="L484" i="2"/>
  <c r="M484" i="2"/>
  <c r="N484" i="2"/>
  <c r="L485" i="2"/>
  <c r="M485" i="2"/>
  <c r="N485" i="2"/>
  <c r="L486" i="2"/>
  <c r="M486" i="2"/>
  <c r="N486" i="2"/>
  <c r="L487" i="2"/>
  <c r="M487" i="2"/>
  <c r="N487" i="2"/>
  <c r="L488" i="2"/>
  <c r="M488" i="2"/>
  <c r="N488" i="2"/>
  <c r="L489" i="2"/>
  <c r="M489" i="2"/>
  <c r="N489" i="2"/>
  <c r="L490" i="2"/>
  <c r="M490" i="2"/>
  <c r="N490" i="2"/>
  <c r="L491" i="2"/>
  <c r="M491" i="2"/>
  <c r="N491" i="2"/>
  <c r="L492" i="2"/>
  <c r="M492" i="2"/>
  <c r="N492" i="2"/>
  <c r="L493" i="2"/>
  <c r="M493" i="2"/>
  <c r="N493" i="2"/>
  <c r="L494" i="2"/>
  <c r="M494" i="2"/>
  <c r="N494" i="2"/>
  <c r="L495" i="2"/>
  <c r="M495" i="2"/>
  <c r="N495" i="2"/>
  <c r="L496" i="2"/>
  <c r="M496" i="2"/>
  <c r="N496" i="2"/>
  <c r="L497" i="2"/>
  <c r="M497" i="2"/>
  <c r="N497" i="2"/>
  <c r="L2" i="2"/>
  <c r="M2" i="2"/>
  <c r="N2" i="2"/>
  <c r="K3" i="2"/>
  <c r="K4" i="2"/>
  <c r="K5" i="2"/>
  <c r="K6" i="2"/>
  <c r="K7" i="2"/>
  <c r="R2" i="2" s="1"/>
  <c r="K8" i="2"/>
  <c r="K9" i="2"/>
  <c r="K10" i="2"/>
  <c r="R6" i="2" s="1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R3" i="2" s="1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R4" i="2" s="1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R5" i="2" s="1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2" i="2"/>
  <c r="Q2" i="2"/>
  <c r="U3" i="2"/>
  <c r="Q6" i="2"/>
  <c r="Q5" i="2"/>
  <c r="Q4" i="2"/>
  <c r="Q3" i="2"/>
  <c r="U1" i="2"/>
  <c r="R1" i="2"/>
  <c r="S1" i="2"/>
  <c r="T1" i="2"/>
  <c r="T6" i="2" l="1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X1" i="6"/>
  <c r="W1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V1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2" i="6"/>
  <c r="E3" i="6" a="1"/>
  <c r="F6" i="6" a="1"/>
  <c r="E10" i="6" a="1"/>
  <c r="F13" i="6" a="1"/>
  <c r="F8" i="6" a="1"/>
  <c r="F9" i="6" a="1"/>
  <c r="E7" i="6" a="1"/>
  <c r="F10" i="6" a="1"/>
  <c r="F14" i="6" a="1"/>
  <c r="F4" i="6" a="1"/>
  <c r="E15" i="6" a="1"/>
  <c r="F15" i="6" a="1"/>
  <c r="F12" i="6" a="1"/>
  <c r="E13" i="6" a="1"/>
  <c r="F3" i="6" a="1"/>
  <c r="E14" i="6" a="1"/>
  <c r="F11" i="6" a="1"/>
  <c r="E5" i="6" a="1"/>
  <c r="E9" i="6" a="1"/>
  <c r="E6" i="6" a="1"/>
  <c r="E4" i="6" a="1"/>
  <c r="F7" i="6" a="1"/>
  <c r="E11" i="6" a="1"/>
  <c r="E8" i="6" a="1"/>
  <c r="E12" i="6" a="1"/>
  <c r="F5" i="6" a="1"/>
  <c r="F5" i="6" l="1"/>
  <c r="E12" i="6"/>
  <c r="E8" i="6"/>
  <c r="E11" i="6"/>
  <c r="F7" i="6"/>
  <c r="E4" i="6"/>
  <c r="E6" i="6"/>
  <c r="E9" i="6"/>
  <c r="E5" i="6"/>
  <c r="F11" i="6"/>
  <c r="E14" i="6"/>
  <c r="F3" i="6"/>
  <c r="E13" i="6"/>
  <c r="F12" i="6"/>
  <c r="F15" i="6"/>
  <c r="E15" i="6"/>
  <c r="F4" i="6"/>
  <c r="F14" i="6"/>
  <c r="F10" i="6"/>
  <c r="E7" i="6"/>
  <c r="F9" i="6"/>
  <c r="F8" i="6"/>
  <c r="F13" i="6"/>
  <c r="E10" i="6"/>
  <c r="F6" i="6"/>
  <c r="E3" i="6"/>
  <c r="Y2" i="4" l="1"/>
  <c r="U2" i="4"/>
  <c r="U1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U6" i="4" s="1"/>
  <c r="M2" i="4"/>
  <c r="N2" i="4"/>
  <c r="U3" i="4" l="1"/>
  <c r="U5" i="4"/>
  <c r="U4" i="4"/>
  <c r="O18" i="5" l="1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V1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M18" i="5"/>
  <c r="M17" i="5"/>
  <c r="M16" i="5"/>
  <c r="M15" i="5"/>
  <c r="M13" i="5"/>
  <c r="M12" i="5"/>
  <c r="M11" i="5"/>
  <c r="M4" i="5"/>
  <c r="M3" i="5"/>
  <c r="M2" i="5"/>
  <c r="M14" i="5"/>
  <c r="M10" i="5"/>
  <c r="M9" i="5"/>
  <c r="M8" i="5"/>
  <c r="M7" i="5"/>
  <c r="M6" i="5"/>
  <c r="M5" i="5"/>
  <c r="X6" i="5"/>
  <c r="X5" i="5"/>
  <c r="X4" i="5"/>
  <c r="X3" i="5"/>
  <c r="X2" i="5"/>
  <c r="U1" i="5"/>
  <c r="T1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2" i="5"/>
  <c r="E3" i="5" a="1"/>
  <c r="F6" i="5" a="1"/>
  <c r="E10" i="5" a="1"/>
  <c r="F13" i="5" a="1"/>
  <c r="E17" i="5" a="1"/>
  <c r="F18" i="5" a="1"/>
  <c r="F8" i="5" a="1"/>
  <c r="F5" i="5" a="1"/>
  <c r="F9" i="5" a="1"/>
  <c r="E7" i="5" a="1"/>
  <c r="F10" i="5" a="1"/>
  <c r="F17" i="5" a="1"/>
  <c r="E11" i="5" a="1"/>
  <c r="E18" i="5" a="1"/>
  <c r="F4" i="5" a="1"/>
  <c r="E15" i="5" a="1"/>
  <c r="E5" i="5" a="1"/>
  <c r="F12" i="5" a="1"/>
  <c r="E6" i="5" a="1"/>
  <c r="F3" i="5" a="1"/>
  <c r="E14" i="5" a="1"/>
  <c r="F11" i="5" a="1"/>
  <c r="E12" i="5" a="1"/>
  <c r="E9" i="5" a="1"/>
  <c r="E13" i="5" a="1"/>
  <c r="E4" i="5" a="1"/>
  <c r="F7" i="5" a="1"/>
  <c r="F14" i="5" a="1"/>
  <c r="E8" i="5" a="1"/>
  <c r="F15" i="5" a="1"/>
  <c r="E16" i="5" a="1"/>
  <c r="F16" i="5" a="1"/>
  <c r="F16" i="5" l="1"/>
  <c r="E16" i="5"/>
  <c r="F15" i="5"/>
  <c r="E8" i="5"/>
  <c r="F14" i="5"/>
  <c r="F7" i="5"/>
  <c r="E4" i="5"/>
  <c r="E13" i="5"/>
  <c r="E9" i="5"/>
  <c r="E12" i="5"/>
  <c r="F11" i="5"/>
  <c r="E14" i="5"/>
  <c r="F3" i="5"/>
  <c r="E6" i="5"/>
  <c r="F12" i="5"/>
  <c r="E5" i="5"/>
  <c r="E15" i="5"/>
  <c r="F4" i="5"/>
  <c r="E18" i="5"/>
  <c r="E11" i="5"/>
  <c r="F17" i="5"/>
  <c r="F10" i="5"/>
  <c r="E7" i="5"/>
  <c r="F9" i="5"/>
  <c r="F5" i="5"/>
  <c r="F8" i="5"/>
  <c r="F18" i="5"/>
  <c r="E17" i="5"/>
  <c r="F13" i="5"/>
  <c r="E10" i="5"/>
  <c r="F6" i="5"/>
  <c r="E3" i="5"/>
  <c r="O13" i="4" l="1"/>
  <c r="O14" i="4"/>
  <c r="V1" i="4"/>
  <c r="N3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O18" i="4"/>
  <c r="O17" i="4"/>
  <c r="O16" i="4"/>
  <c r="O15" i="4"/>
  <c r="O12" i="4"/>
  <c r="O11" i="4"/>
  <c r="O10" i="4"/>
  <c r="O9" i="4"/>
  <c r="O8" i="4"/>
  <c r="O7" i="4"/>
  <c r="O6" i="4"/>
  <c r="O5" i="4"/>
  <c r="O4" i="4"/>
  <c r="O3" i="4"/>
  <c r="O2" i="4"/>
  <c r="W1" i="4"/>
  <c r="X1" i="4"/>
  <c r="Y1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T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2" i="4"/>
  <c r="F10" i="4" a="1"/>
  <c r="F17" i="4" a="1"/>
  <c r="F7" i="4" a="1"/>
  <c r="E18" i="4" a="1"/>
  <c r="E11" i="4" a="1"/>
  <c r="F4" i="4" a="1"/>
  <c r="F6" i="4" a="1"/>
  <c r="F11" i="4" a="1"/>
  <c r="E5" i="4" a="1"/>
  <c r="E10" i="4" a="1"/>
  <c r="F15" i="4" a="1"/>
  <c r="F12" i="4" a="1"/>
  <c r="F13" i="4" a="1"/>
  <c r="E9" i="4" a="1"/>
  <c r="F9" i="4" a="1"/>
  <c r="E17" i="4" a="1"/>
  <c r="E3" i="4" a="1"/>
  <c r="E8" i="4" a="1"/>
  <c r="F3" i="4" a="1"/>
  <c r="F18" i="4" a="1"/>
  <c r="E14" i="4" a="1"/>
  <c r="F8" i="4" a="1"/>
  <c r="F14" i="4" a="1"/>
  <c r="E12" i="4" a="1"/>
  <c r="F5" i="4" a="1"/>
  <c r="E4" i="4" a="1"/>
  <c r="E16" i="4" a="1"/>
  <c r="E15" i="4" a="1"/>
  <c r="E6" i="4" a="1"/>
  <c r="E7" i="4" a="1"/>
  <c r="F16" i="4" a="1"/>
  <c r="E13" i="4" a="1"/>
  <c r="V3" i="4" l="1"/>
  <c r="X2" i="4"/>
  <c r="V6" i="4"/>
  <c r="V5" i="4"/>
  <c r="V4" i="4"/>
  <c r="V2" i="4"/>
  <c r="X6" i="4"/>
  <c r="X3" i="4"/>
  <c r="X4" i="4"/>
  <c r="W2" i="4"/>
  <c r="Y6" i="4"/>
  <c r="Y5" i="4"/>
  <c r="X5" i="4"/>
  <c r="Y4" i="4"/>
  <c r="Y3" i="4"/>
  <c r="F9" i="4"/>
  <c r="F12" i="4"/>
  <c r="E5" i="4"/>
  <c r="F4" i="4"/>
  <c r="E18" i="4"/>
  <c r="E4" i="4"/>
  <c r="F16" i="4"/>
  <c r="F5" i="4"/>
  <c r="E12" i="4"/>
  <c r="E15" i="4"/>
  <c r="F14" i="4"/>
  <c r="E14" i="4"/>
  <c r="F3" i="4"/>
  <c r="E13" i="4"/>
  <c r="E9" i="4"/>
  <c r="F15" i="4"/>
  <c r="F11" i="4"/>
  <c r="E11" i="4"/>
  <c r="F7" i="4"/>
  <c r="F17" i="4"/>
  <c r="F10" i="4"/>
  <c r="E7" i="4"/>
  <c r="E6" i="4"/>
  <c r="E16" i="4"/>
  <c r="F8" i="4"/>
  <c r="F18" i="4"/>
  <c r="E8" i="4"/>
  <c r="E17" i="4"/>
  <c r="F13" i="4"/>
  <c r="E10" i="4"/>
  <c r="F6" i="4"/>
  <c r="E3" i="4"/>
  <c r="AE1" i="3" l="1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AG2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AD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AC1" i="3"/>
  <c r="AA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Z1" i="3" l="1"/>
  <c r="AG4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" i="3"/>
  <c r="AB1" i="3"/>
  <c r="Y1" i="3"/>
  <c r="AG6" i="3"/>
  <c r="AG5" i="3"/>
  <c r="O4" i="3"/>
  <c r="O3" i="3"/>
  <c r="O2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" i="3"/>
  <c r="T6" i="6" a="1"/>
  <c r="T6" i="6" s="1"/>
  <c r="T5" i="6" a="1"/>
  <c r="T5" i="6" s="1"/>
  <c r="T4" i="6" a="1"/>
  <c r="T4" i="6" s="1"/>
  <c r="T3" i="6" a="1"/>
  <c r="T3" i="6" s="1"/>
  <c r="T2" i="6"/>
  <c r="U1" i="6"/>
  <c r="R6" i="5" a="1"/>
  <c r="R6" i="5" s="1"/>
  <c r="R5" i="5" a="1"/>
  <c r="R5" i="5" s="1"/>
  <c r="R4" i="5" a="1"/>
  <c r="R4" i="5" s="1"/>
  <c r="R3" i="5" a="1"/>
  <c r="R3" i="5" s="1"/>
  <c r="R2" i="5"/>
  <c r="S1" i="5"/>
  <c r="T6" i="4" a="1"/>
  <c r="T6" i="4" s="1"/>
  <c r="T5" i="4" a="1"/>
  <c r="T5" i="4" s="1"/>
  <c r="T4" i="4" a="1"/>
  <c r="T4" i="4" s="1"/>
  <c r="T3" i="4" a="1"/>
  <c r="T3" i="4" s="1"/>
  <c r="X2" i="3"/>
  <c r="X3" i="3" a="1"/>
  <c r="X3" i="3" s="1"/>
  <c r="X4" i="3" a="1"/>
  <c r="X4" i="3" s="1"/>
  <c r="X5" i="3" a="1"/>
  <c r="X5" i="3" s="1"/>
  <c r="X6" i="3" a="1"/>
  <c r="X6" i="3" s="1"/>
  <c r="F4" i="3" a="1"/>
  <c r="E4" i="3" a="1"/>
  <c r="E2" i="3" a="1"/>
  <c r="F2" i="5" a="1"/>
  <c r="E17" i="3" a="1"/>
  <c r="E18" i="3" a="1"/>
  <c r="E13" i="3" a="1"/>
  <c r="F5" i="3" a="1"/>
  <c r="F2" i="3" a="1"/>
  <c r="F12" i="3" a="1"/>
  <c r="F10" i="3" a="1"/>
  <c r="F18" i="3" a="1"/>
  <c r="F8" i="3" a="1"/>
  <c r="E11" i="3" a="1"/>
  <c r="E15" i="3" a="1"/>
  <c r="E14" i="3" a="1"/>
  <c r="F15" i="3" a="1"/>
  <c r="E12" i="3" a="1"/>
  <c r="F9" i="3" a="1"/>
  <c r="F14" i="3" a="1"/>
  <c r="F16" i="3" a="1"/>
  <c r="F11" i="3" a="1"/>
  <c r="F3" i="3" a="1"/>
  <c r="E2" i="5" a="1"/>
  <c r="E20" i="3" a="1"/>
  <c r="F2" i="4" a="1"/>
  <c r="E3" i="3" a="1"/>
  <c r="E16" i="3" a="1"/>
  <c r="E6" i="3" a="1"/>
  <c r="E8" i="3" a="1"/>
  <c r="F19" i="3" a="1"/>
  <c r="F2" i="6" a="1"/>
  <c r="F20" i="3" a="1"/>
  <c r="E19" i="3" a="1"/>
  <c r="E10" i="3" a="1"/>
  <c r="F13" i="3" a="1"/>
  <c r="E9" i="3" a="1"/>
  <c r="E7" i="3" a="1"/>
  <c r="E2" i="6" a="1"/>
  <c r="E2" i="4" a="1"/>
  <c r="F17" i="3" a="1"/>
  <c r="F6" i="3" a="1"/>
  <c r="E5" i="3" a="1"/>
  <c r="F7" i="3" a="1"/>
  <c r="AG3" i="3" l="1"/>
  <c r="F2" i="6"/>
  <c r="E2" i="6"/>
  <c r="E2" i="5"/>
  <c r="F2" i="5"/>
  <c r="E2" i="4"/>
  <c r="F2" i="4"/>
  <c r="F3" i="3"/>
  <c r="F2" i="3"/>
  <c r="E3" i="3"/>
  <c r="E2" i="3"/>
  <c r="F9" i="3"/>
  <c r="F15" i="3"/>
  <c r="F8" i="3"/>
  <c r="F14" i="3"/>
  <c r="F7" i="3"/>
  <c r="F20" i="3"/>
  <c r="F13" i="3"/>
  <c r="F19" i="3"/>
  <c r="F12" i="3"/>
  <c r="F5" i="3"/>
  <c r="F16" i="3"/>
  <c r="F6" i="3"/>
  <c r="F18" i="3"/>
  <c r="F11" i="3"/>
  <c r="F4" i="3"/>
  <c r="F17" i="3"/>
  <c r="F10" i="3"/>
  <c r="E7" i="3"/>
  <c r="E15" i="3"/>
  <c r="E9" i="3"/>
  <c r="E10" i="3"/>
  <c r="E19" i="3"/>
  <c r="E8" i="3"/>
  <c r="E17" i="3"/>
  <c r="E11" i="3"/>
  <c r="E5" i="3"/>
  <c r="E20" i="3"/>
  <c r="E14" i="3"/>
  <c r="E16" i="3"/>
  <c r="E4" i="3"/>
  <c r="E18" i="3"/>
  <c r="E12" i="3"/>
  <c r="E6" i="3"/>
  <c r="E13" i="3"/>
  <c r="Q1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2" i="2"/>
  <c r="W3" i="4" l="1"/>
  <c r="W5" i="4"/>
  <c r="W6" i="4"/>
  <c r="W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<sst xmlns="http://schemas.openxmlformats.org/spreadsheetml/2006/main" count="977" uniqueCount="558">
  <si>
    <t>DEFAULT_PARAMETERS</t>
  </si>
  <si>
    <t>RNA_decoy</t>
  </si>
  <si>
    <t>10,000 decoys</t>
  </si>
  <si>
    <t>Protein_decoy</t>
  </si>
  <si>
    <t>0 decoys</t>
  </si>
  <si>
    <t>Phi_cutoff</t>
  </si>
  <si>
    <t>0.95 nm</t>
  </si>
  <si>
    <t>Decoy_cutoff</t>
  </si>
  <si>
    <t>1.2 nm</t>
  </si>
  <si>
    <t>RNA_atom</t>
  </si>
  <si>
    <t>P atom, if missing O_5 atom</t>
  </si>
  <si>
    <t>Protein_atom</t>
  </si>
  <si>
    <t>Always C_alpha</t>
  </si>
  <si>
    <t>eigenvalues (ev)</t>
  </si>
  <si>
    <t>Order</t>
  </si>
  <si>
    <t>Sequence</t>
  </si>
  <si>
    <t>Native_Mutation</t>
  </si>
  <si>
    <t>ACAUGAGGAUCACCCAUGU</t>
  </si>
  <si>
    <t>ACAGGAGGAUCACCCAUGU</t>
  </si>
  <si>
    <t>AAAUGAGGAUCACCCAUGU</t>
  </si>
  <si>
    <t>ACAUUAGGAUCACCCAUGU</t>
  </si>
  <si>
    <t>ACCUGAGGAUCACCCAUGU</t>
  </si>
  <si>
    <t>ACAUGAGGUUCACCCAUGU</t>
  </si>
  <si>
    <t>ACAUAAGGAUCACCCAUGU</t>
  </si>
  <si>
    <t>ACAUGUGGAUCACCCAUGU</t>
  </si>
  <si>
    <t>ACAUGAGGACCACCCAUGU</t>
  </si>
  <si>
    <t>ACAAGAGGAUCACCCAUGU</t>
  </si>
  <si>
    <t>ACAUGAGGAUAACCCAUGU</t>
  </si>
  <si>
    <t>ACAUGCGGAUCACCCAUGU</t>
  </si>
  <si>
    <t>ACAUGAGGAACACCCAUGU</t>
  </si>
  <si>
    <t>AUAUGAGGAUCACCCAUGU</t>
  </si>
  <si>
    <t>ACAUGAGGGUCACCCAUGU</t>
  </si>
  <si>
    <t>ACAUGAGGAGCACCCAUGU</t>
  </si>
  <si>
    <t>AGAUGAGGAUCACCCAUGU</t>
  </si>
  <si>
    <t>ACAUGAGGCUCACCCAUGU</t>
  </si>
  <si>
    <t>ACAUGAGGAUUACCCAUGU</t>
  </si>
  <si>
    <t>ACUUGAGGAUCACCCAUGU</t>
  </si>
  <si>
    <t>ACGUGAGGAUCACCCAUGU</t>
  </si>
  <si>
    <t>ACACGAGGAUCACCCAUGU</t>
  </si>
  <si>
    <t>ACAUAAGGAACACCCAUGU</t>
  </si>
  <si>
    <t>CAAUGAGGAUCACCCAUGU</t>
  </si>
  <si>
    <t>ACAAGAGGAACACCCAUGU</t>
  </si>
  <si>
    <t>AAAUGAGGAUAACCCAUGU</t>
  </si>
  <si>
    <t>AAAUGAGGAACACCCAUGU</t>
  </si>
  <si>
    <t>ACCUGAGGAACACCCAUGU</t>
  </si>
  <si>
    <t>ACCUGAGGAUAACCCAUGU</t>
  </si>
  <si>
    <t>ACAAGAGGACCACCCAUGU</t>
  </si>
  <si>
    <t>AAACGAGGAUCACCCAUGU</t>
  </si>
  <si>
    <t>ACACGAGGAACACCCAUGU</t>
  </si>
  <si>
    <t>ACGAGAGGAUCACCCAUGU</t>
  </si>
  <si>
    <t>GAAUGAGGAUCACCCAUGU</t>
  </si>
  <si>
    <t>ACAUUAGGAACACCCAUGU</t>
  </si>
  <si>
    <t>CCAUGAGGAACACCCAUGU</t>
  </si>
  <si>
    <t>ACAUUAGGAGCACCCAUGU</t>
  </si>
  <si>
    <t>CGAUGAGGAUCACCCAUGU</t>
  </si>
  <si>
    <t>ACAAGAGGAGCACCCAUGU</t>
  </si>
  <si>
    <t>AAAAGAGGAUCACCCAUGU</t>
  </si>
  <si>
    <t>AGAUGAGGAACACCCAUGU</t>
  </si>
  <si>
    <t>ACAUGAGGCACACCCAUGU</t>
  </si>
  <si>
    <t>ACCAGAGGAUCACCCAUGU</t>
  </si>
  <si>
    <t>AAAUGAGGACCACCCAUGU</t>
  </si>
  <si>
    <t>ACAUGAGGAGAACCCAUGU</t>
  </si>
  <si>
    <t>ACAUGAGGGACACCCAUGU</t>
  </si>
  <si>
    <t>ACAUGAGGCGCACCCAUGU</t>
  </si>
  <si>
    <t>ACAUAGGGAUCACCCAUGU</t>
  </si>
  <si>
    <t>AUAUGAGGAACACCCAUGU</t>
  </si>
  <si>
    <t>ACACGAGGAUUACCCAUGU</t>
  </si>
  <si>
    <t>UCAAGAGGAUCACCCAUGU</t>
  </si>
  <si>
    <t>ACGUGAGGAUAACCCAUGU</t>
  </si>
  <si>
    <t>AUAUGAGGAUAACCCAUGU</t>
  </si>
  <si>
    <t>ACUAGAGGAUCACCCAUGU</t>
  </si>
  <si>
    <t>GCAUGAGGAUAACCCAUGU</t>
  </si>
  <si>
    <t>AAAUGAGGCUCACCCAUGU</t>
  </si>
  <si>
    <t>GCACGAGGAUCACCCAUGU</t>
  </si>
  <si>
    <t>ACAUGAGGCCCACCCAUGU</t>
  </si>
  <si>
    <t>GCAUGAGGAACACCCAUGU</t>
  </si>
  <si>
    <t>ACCUGAGGCUCACCCAUGU</t>
  </si>
  <si>
    <t>ACACGAGGACCACCCAUGU</t>
  </si>
  <si>
    <t>UCAUGAGGAACACCCAUGU</t>
  </si>
  <si>
    <t>GCAAGAGGAUCACCCAUGU</t>
  </si>
  <si>
    <t>AGAUGAGGAUAACCCAUGU</t>
  </si>
  <si>
    <t>ACACGAGGAGCACCCAUGU</t>
  </si>
  <si>
    <t>GCAUGAGGACCACCCAUGU</t>
  </si>
  <si>
    <t>ACGUGAGGAACACCCAUGU</t>
  </si>
  <si>
    <t>ACAUGAGGAAUACCCAUGU</t>
  </si>
  <si>
    <t>AAUUGAGGAUCACCCAUGU</t>
  </si>
  <si>
    <t>CCUUGAGGAUCACCCAUGU</t>
  </si>
  <si>
    <t>GCAUGAGGCUCACCCAUGU</t>
  </si>
  <si>
    <t>AGAAGAGGAUCACCCAUGU</t>
  </si>
  <si>
    <t>ACAUGAGGUACACCCAUGU</t>
  </si>
  <si>
    <t>ACAUGAGGGCCACCCAUGU</t>
  </si>
  <si>
    <t>ACCUGAGGAGCACCCAUGU</t>
  </si>
  <si>
    <t>UCACGAGGAUCACCCAUGU</t>
  </si>
  <si>
    <t>CCAUGAGGAUAACCCAUGU</t>
  </si>
  <si>
    <t>AUAUGAGGCUCACCCAUGU</t>
  </si>
  <si>
    <t>CCAUGAGGACCACCCAUGU</t>
  </si>
  <si>
    <t>UCCUGAGGAUCACCCAUGU</t>
  </si>
  <si>
    <t>ACUUGAGGAACACCCAUGU</t>
  </si>
  <si>
    <t>AUAUGAGGACCACCCAUGU</t>
  </si>
  <si>
    <t>AUAAGAGGAUCACCCAUGU</t>
  </si>
  <si>
    <t>UCAUUAGGAUCACCCAUGU</t>
  </si>
  <si>
    <t>GCAUUAGGAUCACCCAUGU</t>
  </si>
  <si>
    <t>CUAUGAGGAUCACCCAUGU</t>
  </si>
  <si>
    <t>ACGUGAGGCUCACCCAUGU</t>
  </si>
  <si>
    <t>CCCUGAGGAUCACCCAUGU</t>
  </si>
  <si>
    <t>ACUUGAGGAGCACCCAUGU</t>
  </si>
  <si>
    <t>ACUUGAGGACCACCCAUGU</t>
  </si>
  <si>
    <t>UAAUGAGGAUCACCCAUGU</t>
  </si>
  <si>
    <t>AAAUGAGGAUUACCCAUGU</t>
  </si>
  <si>
    <t>AGACGAGGAUCACCCAUGU</t>
  </si>
  <si>
    <t>UCAUGAGGACCACCCAUGU</t>
  </si>
  <si>
    <t>ACCUGAGGAUUACCCAUGU</t>
  </si>
  <si>
    <t>ACUUGAGGAUAACCCAUGU</t>
  </si>
  <si>
    <t>ACCUGAGGACCACCCAUGU</t>
  </si>
  <si>
    <t>ACGCGAGGAUCACCCAUGU</t>
  </si>
  <si>
    <t>ACAUUGGGAUCACCCAUGU</t>
  </si>
  <si>
    <t>ACGUGAGGGUCACCCAUGU</t>
  </si>
  <si>
    <t>GCCUGAGGAUCACCCAUGU</t>
  </si>
  <si>
    <t>GCAUGCGGAUCACCCAUGU</t>
  </si>
  <si>
    <t>AGAUGAGGACCACCCAUGU</t>
  </si>
  <si>
    <t>CCAUGAGGAUUACCCAUGU</t>
  </si>
  <si>
    <t>UCAUGAGGAGCACCCAUGU</t>
  </si>
  <si>
    <t>AUACGAGGAUCACCCAUGU</t>
  </si>
  <si>
    <t>ACGUGAGGAGCACCCAUGU</t>
  </si>
  <si>
    <t>CCAUGAGGAGCACCCAUGU</t>
  </si>
  <si>
    <t>AUAUGAGGAGCACCCAUGU</t>
  </si>
  <si>
    <t>AAGUGAGGAUCACCCAUGU</t>
  </si>
  <si>
    <t>ACUUGAGGCUCACCCAUGU</t>
  </si>
  <si>
    <t>AAAUGAGGAGCACCCAUGU</t>
  </si>
  <si>
    <t>UCAUGAGGAUAACCCAUGU</t>
  </si>
  <si>
    <t>GUAUGAGGAUCACCCAUGU</t>
  </si>
  <si>
    <t>GCGUGAGGAUCACCCAUGU</t>
  </si>
  <si>
    <t>ACGUGAGGAUUACCCAUGU</t>
  </si>
  <si>
    <t>ACGUGAGGACCACCCAUGU</t>
  </si>
  <si>
    <t>AGAUGAGGAGCACCCAUGU</t>
  </si>
  <si>
    <t>ACAUGAGGAGUACCCAUGU</t>
  </si>
  <si>
    <t>AUAUGUGGAUCACCCAUGU</t>
  </si>
  <si>
    <t>GCAUGAGGGUCACCCAUGU</t>
  </si>
  <si>
    <t>ACUUGAGGAUUACCCAUGU</t>
  </si>
  <si>
    <t>ACUCGAGGAUCACCCAUGU</t>
  </si>
  <si>
    <t>CCGUGAGGAUCACCCAUGU</t>
  </si>
  <si>
    <t>GCAUGAGGAGCACCCAUGU</t>
  </si>
  <si>
    <t>GCUUGAGGAUCACCCAUGU</t>
  </si>
  <si>
    <t>AGAUGAGGAUUACCCAUGU</t>
  </si>
  <si>
    <t>UUAUGAGGAUCACCCAUGU</t>
  </si>
  <si>
    <t>AUCUGAGGAUCACCCAUGU</t>
  </si>
  <si>
    <t>CCAUGAGGCUCACCCAUGU</t>
  </si>
  <si>
    <t>AACUGAGGAUCACCCAUGU</t>
  </si>
  <si>
    <t>ACAUGAGGACUACCCAUGU</t>
  </si>
  <si>
    <t>UCAUGAGGCUCACCCAUGU</t>
  </si>
  <si>
    <t>AUGUGAGGAUCACCCAUGU</t>
  </si>
  <si>
    <t>GCAUGAGGAUUACCCAUGU</t>
  </si>
  <si>
    <t>UGAUGAGGAUCACCCAUGU</t>
  </si>
  <si>
    <t>AUUUGAGGAUCACCCAUGU</t>
  </si>
  <si>
    <t>GGAUGAGGAUCACCCAUGU</t>
  </si>
  <si>
    <t>AUAUGAGGAUUACCCAUGU</t>
  </si>
  <si>
    <t>AGUUGAGGAUCACCCAUGU</t>
  </si>
  <si>
    <t>AUAUGAGGUUCACCCAUGU</t>
  </si>
  <si>
    <t>UCUUGAGGAUCACCCAUGU</t>
  </si>
  <si>
    <t>AUAUGCGGAUCACCCAUGU</t>
  </si>
  <si>
    <t>UCGUGAGGAUCACCCAUGU</t>
  </si>
  <si>
    <t>UCAUGAGGAUUACCCAUGU</t>
  </si>
  <si>
    <t>CCAUGAGGUUCACCCAUGU</t>
  </si>
  <si>
    <t>ACAUCGGGAUCACCCAUGU</t>
  </si>
  <si>
    <t>ACAUGAGGUCCACCCAUGU</t>
  </si>
  <si>
    <t>GCAUGAGGUUCACCCAUGU</t>
  </si>
  <si>
    <t>AGCUGAGGAUCACCCAUGU</t>
  </si>
  <si>
    <t>AGGUGAGGAUCACCCAUGU</t>
  </si>
  <si>
    <t>ACGUGAGGUUCACCCAUGU</t>
  </si>
  <si>
    <t>ACUUGAGGUUCACCCAUGU</t>
  </si>
  <si>
    <t>UCAUGAGGUUCACCCAUGU</t>
  </si>
  <si>
    <t>CACUGAGGAUCACCCAUGU</t>
  </si>
  <si>
    <t>CAAAGAGGAUCACCCAUGU</t>
  </si>
  <si>
    <t>UUGUGAGGAUCACCCAUGU</t>
  </si>
  <si>
    <t>CAUUGAGGAUCACCCAUGU</t>
  </si>
  <si>
    <t>CAAUGAGGAUAACCCAUGU</t>
  </si>
  <si>
    <t>GACUGAGGAUCACCCAUGU</t>
  </si>
  <si>
    <t>AAAAGAGGACCACCCAUGU</t>
  </si>
  <si>
    <t>CAAUGAGGACCACCCAUGU</t>
  </si>
  <si>
    <t>AACCGAGGAUCACCCAUGU</t>
  </si>
  <si>
    <t>CAACGAGGAUCACCCAUGU</t>
  </si>
  <si>
    <t>UGCUGAGGAUCACCCAUGU</t>
  </si>
  <si>
    <t>ACUUGAGGCACACCCAUGU</t>
  </si>
  <si>
    <t>AGUUGAGGAACACCCAUGU</t>
  </si>
  <si>
    <t>CAAUGAGGAUUACCCAUGU</t>
  </si>
  <si>
    <t>CAGUGAGGAUCACCCAUGU</t>
  </si>
  <si>
    <t>CGAUGAGGACCACCCAUGU</t>
  </si>
  <si>
    <t>AUCUGAGGAACACCCAUGU</t>
  </si>
  <si>
    <t>GAAUGAGGAACACCCAUGU</t>
  </si>
  <si>
    <t>GUUUGAGGAUCACCCAUGU</t>
  </si>
  <si>
    <t>GCACGAGGAGCACCCAUGU</t>
  </si>
  <si>
    <t>CAAUGAGGAGCACCCAUGU</t>
  </si>
  <si>
    <t>GAAUGAGGCUCACCCAUGU</t>
  </si>
  <si>
    <t>AUCAGAGGAUCACCCAUGU</t>
  </si>
  <si>
    <t>UUAUGAGGCUCACCCAUGU</t>
  </si>
  <si>
    <t>GCAUGAGGGACACCCAUGU</t>
  </si>
  <si>
    <t>CAAUGAGGAACACCCAUGU</t>
  </si>
  <si>
    <t>AAAAGAGGAACACCCAUGU</t>
  </si>
  <si>
    <t>UCACGAGGAACACCCAUGU</t>
  </si>
  <si>
    <t>GCCUGAGGACCACCCAUGU</t>
  </si>
  <si>
    <t>ACAAAGGGAUCACCCAUGU</t>
  </si>
  <si>
    <t>GCGUGAGGAGCACCCAUGU</t>
  </si>
  <si>
    <t>AUAUUGGGAUCACCCAUGU</t>
  </si>
  <si>
    <t>CCAUUGGGAUCACCCAUGU</t>
  </si>
  <si>
    <t>UAAAGAGGAUCACCCAUGU</t>
  </si>
  <si>
    <t>UGAAGAGGAUCACCCAUGU</t>
  </si>
  <si>
    <t>AUCUGAGGAUUACCCAUGU</t>
  </si>
  <si>
    <t>CUUUGAGGAUCACCCAUGU</t>
  </si>
  <si>
    <t>GCUUGAGGACCACCCAUGU</t>
  </si>
  <si>
    <t>CAAUGAGGCUCACCCAUGU</t>
  </si>
  <si>
    <t>AGCUGAGGAGCACCCAUGU</t>
  </si>
  <si>
    <t>CGAUGAGGAACACCCAUGU</t>
  </si>
  <si>
    <t>GAAUGAGGAUUACCCAUGU</t>
  </si>
  <si>
    <t>ACUAGAGGAACACCCAUGU</t>
  </si>
  <si>
    <t>ACAGAGGGAUCACCCAUGU</t>
  </si>
  <si>
    <t>AGAAGAGGAACACCCAUGU</t>
  </si>
  <si>
    <t>UCAUGAGGAGUACCCAUGU</t>
  </si>
  <si>
    <t>UAAUGAGGAACACCCAUGU</t>
  </si>
  <si>
    <t>CCCUGAGGAACACCCAUGU</t>
  </si>
  <si>
    <t>GCUUGAGGAACACCCAUGU</t>
  </si>
  <si>
    <t>AUUUGAGGACCACCCAUGU</t>
  </si>
  <si>
    <t>GUCUGAGGAUCACCCAUGU</t>
  </si>
  <si>
    <t>AAGUGAGGACCACCCAUGU</t>
  </si>
  <si>
    <t>GGUUGAGGAUCACCCAUGU</t>
  </si>
  <si>
    <t>GAAUGAGGAGCACCCAUGU</t>
  </si>
  <si>
    <t>AUAUGAGGCACACCCAUGU</t>
  </si>
  <si>
    <t>GAAUGAGGACCACCCAUGU</t>
  </si>
  <si>
    <t>ACACAGGGAUCACCCAUGU</t>
  </si>
  <si>
    <t>AUUAGAGGAUCACCCAUGU</t>
  </si>
  <si>
    <t>AGUCGAGGAUCACCCAUGU</t>
  </si>
  <si>
    <t>GCACGAGGACCACCCAUGU</t>
  </si>
  <si>
    <t>GAGUGAGGAUCACCCAUGU</t>
  </si>
  <si>
    <t>CGAUGAGGAGCACCCAUGU</t>
  </si>
  <si>
    <t>AUAAGAGGACCACCCAUGU</t>
  </si>
  <si>
    <t>GCACGAGGAUUACCCAUGU</t>
  </si>
  <si>
    <t>GUAUGAGGCUCACCCAUGU</t>
  </si>
  <si>
    <t>ACCUGAGGAAUACCCAUGU</t>
  </si>
  <si>
    <t>AUUUGCGGAUCACCCAUGU</t>
  </si>
  <si>
    <t>AAGAGAGGAUCACCCAUGU</t>
  </si>
  <si>
    <t>UUAUGAGGAUUACCCAUGU</t>
  </si>
  <si>
    <t>ACUAGAGGAGCACCCAUGU</t>
  </si>
  <si>
    <t>CCAUGAGGCACACCCAUGU</t>
  </si>
  <si>
    <t>GUAUGAGGAUUACCCAUGU</t>
  </si>
  <si>
    <t>AAUCGAGGAUCACCCAUGU</t>
  </si>
  <si>
    <t>UUAUGAGGAACACCCAUGU</t>
  </si>
  <si>
    <t>AUACGAGGAACACCCAUGU</t>
  </si>
  <si>
    <t>CCGUGAGGAGCACCCAUGU</t>
  </si>
  <si>
    <t>AGUUGAGGACCACCCAUGU</t>
  </si>
  <si>
    <t>UCAUGAGGAAUACCCAUGU</t>
  </si>
  <si>
    <t>UCAUAGGGAUCACCCAUGU</t>
  </si>
  <si>
    <t>UUAUGAGGAGCACCCAUGU</t>
  </si>
  <si>
    <t>CUAUGAGGAGCACCCAUGU</t>
  </si>
  <si>
    <t>UCCUGAGGAACACCCAUGU</t>
  </si>
  <si>
    <t>AACUGAGGAUUACCCAUGU</t>
  </si>
  <si>
    <t>UUAAGAGGAUCACCCAUGU</t>
  </si>
  <si>
    <t>CCGUGAGGAACACCCAUGU</t>
  </si>
  <si>
    <t>CCUUGAGGAACACCCAUGU</t>
  </si>
  <si>
    <t>AACUGAGGAACACCCAUGU</t>
  </si>
  <si>
    <t>GCUUGAGGAUUACCCAUGU</t>
  </si>
  <si>
    <t>ACCUUGGGAUCACCCAUGU</t>
  </si>
  <si>
    <t>GCAUGAGGGCCACCCAUGU</t>
  </si>
  <si>
    <t>GCCUGAGGAACACCCAUGU</t>
  </si>
  <si>
    <t>AAUAGAGGAUCACCCAUGU</t>
  </si>
  <si>
    <t>ACUUAGGGAUCACCCAUGU</t>
  </si>
  <si>
    <t>UGAUGAGGACCACCCAUGU</t>
  </si>
  <si>
    <t>UCAUGAGGCACACCCAUGU</t>
  </si>
  <si>
    <t>AUGUGAGGAACACCCAUGU</t>
  </si>
  <si>
    <t>ACCAGAGGAACACCCAUGU</t>
  </si>
  <si>
    <t>UUCUGAGGAUCACCCAUGU</t>
  </si>
  <si>
    <t>GCAUAGGGAUCACCCAUGU</t>
  </si>
  <si>
    <t>AAAUGAGGAAUACCCAUGU</t>
  </si>
  <si>
    <t>AUAAGAGGAACACCCAUGU</t>
  </si>
  <si>
    <t>AAAUUGGGAUCACCCAUGU</t>
  </si>
  <si>
    <t>GCGUGAGGAACACCCAUGU</t>
  </si>
  <si>
    <t>CCAUGAGGACUACCCAUGU</t>
  </si>
  <si>
    <t>AUAUGCGGAACACCCAUGU</t>
  </si>
  <si>
    <t>AUAUGAGGAAUACCCAUGU</t>
  </si>
  <si>
    <t>AUCUGAGGAGCACCCAUGU</t>
  </si>
  <si>
    <t>AUUUGAGGAGCACCCAUGU</t>
  </si>
  <si>
    <t>GAAAGAGGAUCACCCAUGU</t>
  </si>
  <si>
    <t>ACAUUGGGAACACCCAUGU</t>
  </si>
  <si>
    <t>UAUUGAGGAUCACCCAUGU</t>
  </si>
  <si>
    <t>CUAUGAGGACCACCCAUGU</t>
  </si>
  <si>
    <t>ACCUGAGGACUACCCAUGU</t>
  </si>
  <si>
    <t>AAUUGAGGAUUACCCAUGU</t>
  </si>
  <si>
    <t>ACGUGAGGAAUACCCAUGU</t>
  </si>
  <si>
    <t>CCCUGAGGACCACCCAUGU</t>
  </si>
  <si>
    <t>CUAUGAGGAUUACCCAUGU</t>
  </si>
  <si>
    <t>AUAUAGGGAUCACCCAUGU</t>
  </si>
  <si>
    <t>GCAUGAGGAGUACCCAUGU</t>
  </si>
  <si>
    <t>GCAUGAGGCACACCCAUGU</t>
  </si>
  <si>
    <t>UCGUGAGGAGCACCCAUGU</t>
  </si>
  <si>
    <t>AUAUGCGGACCACCCAUGU</t>
  </si>
  <si>
    <t>AACUGAGGAGCACCCAUGU</t>
  </si>
  <si>
    <t>AGCUGAGGAUUACCCAUGU</t>
  </si>
  <si>
    <t>AGCUGAGGAACACCCAUGU</t>
  </si>
  <si>
    <t>AAGUGAGGAACACCCAUGU</t>
  </si>
  <si>
    <t>UGAUGAGGAGCACCCAUGU</t>
  </si>
  <si>
    <t>GCAUGAGGAAUACCCAUGU</t>
  </si>
  <si>
    <t>UAAUGAGGAUUACCCAUGU</t>
  </si>
  <si>
    <t>CCUUGAGGACCACCCAUGU</t>
  </si>
  <si>
    <t>AUAUGAGGACUACCCAUGU</t>
  </si>
  <si>
    <t>AUUCGAGGAUCACCCAUGU</t>
  </si>
  <si>
    <t>UAAUGAGGACCACCCAUGU</t>
  </si>
  <si>
    <t>UUAUGAGGACCACCCAUGU</t>
  </si>
  <si>
    <t>GUAUGAGGAGCACCCAUGU</t>
  </si>
  <si>
    <t>AGCUGAGGACCACCCAUGU</t>
  </si>
  <si>
    <t>AACUGAGGACCACCCAUGU</t>
  </si>
  <si>
    <t>UGAUGAGGAACACCCAUGU</t>
  </si>
  <si>
    <t>GUAUGAGGACCACCCAUGU</t>
  </si>
  <si>
    <t>UCGUGAGGACCACCCAUGU</t>
  </si>
  <si>
    <t>CCGUGAGGAUUACCCAUGU</t>
  </si>
  <si>
    <t>AUCUGAGGACCACCCAUGU</t>
  </si>
  <si>
    <t>AGCAGAGGAUCACCCAUGU</t>
  </si>
  <si>
    <t>GCUUGAGGAGCACCCAUGU</t>
  </si>
  <si>
    <t>GGCUGAGGAUCACCCAUGU</t>
  </si>
  <si>
    <t>AAGUGAGGAGCACCCAUGU</t>
  </si>
  <si>
    <t>AGUAGAGGAUCACCCAUGU</t>
  </si>
  <si>
    <t>GGAUGAGGACCACCCAUGU</t>
  </si>
  <si>
    <t>AACAGAGGAUCACCCAUGU</t>
  </si>
  <si>
    <t>GGAUGAGGAACACCCAUGU</t>
  </si>
  <si>
    <t>CGCUGAGGAUCACCCAUGU</t>
  </si>
  <si>
    <t>AUACGCGGAUCACCCAUGU</t>
  </si>
  <si>
    <t>GCACGAGGAACACCCAUGU</t>
  </si>
  <si>
    <t>ACUUGAGGAAUACCCAUGU</t>
  </si>
  <si>
    <t>AGAUUGGGAUCACCCAUGU</t>
  </si>
  <si>
    <t>CUAUGAGGAACACCCAUGU</t>
  </si>
  <si>
    <t>ACUUGAGGACUACCCAUGU</t>
  </si>
  <si>
    <t>UCUUGAGGAGCACCCAUGU</t>
  </si>
  <si>
    <t>UCGUGAGGAACACCCAUGU</t>
  </si>
  <si>
    <t>CCAUGAGGAGUACCCAUGU</t>
  </si>
  <si>
    <t>UCCUGAGGACCACCCAUGU</t>
  </si>
  <si>
    <t>AUUUGAGGAACACCCAUGU</t>
  </si>
  <si>
    <t>GGAUGAGGAUUACCCAUGU</t>
  </si>
  <si>
    <t>GCAUUGGGAUCACCCAUGU</t>
  </si>
  <si>
    <t>AGAUGAGGAAUACCCAUGU</t>
  </si>
  <si>
    <t>ACACUGGGAUCACCCAUGU</t>
  </si>
  <si>
    <t>AAUUGAGGACCACCCAUGU</t>
  </si>
  <si>
    <t>CCUUGAGGAGCACCCAUGU</t>
  </si>
  <si>
    <t>ACAAUGGGAUCACCCAUGU</t>
  </si>
  <si>
    <t>UCAUGAGGACUACCCAUGU</t>
  </si>
  <si>
    <t>AAAUGAGGACUACCCAUGU</t>
  </si>
  <si>
    <t>UAGUGAGGAUCACCCAUGU</t>
  </si>
  <si>
    <t>AGUUGAGGAGCACCCAUGU</t>
  </si>
  <si>
    <t>UACUGAGGAUCACCCAUGU</t>
  </si>
  <si>
    <t>GGAUGAGGAGCACCCAUGU</t>
  </si>
  <si>
    <t>GCCUGAGGAUUACCCAUGU</t>
  </si>
  <si>
    <t>ACGUGAGGAGUACCCAUGU</t>
  </si>
  <si>
    <t>ACUUGAGGAGUACCCAUGU</t>
  </si>
  <si>
    <t>GCAUGAGGCCCACCCAUGU</t>
  </si>
  <si>
    <t>GCCUGAGGAGCACCCAUGU</t>
  </si>
  <si>
    <t>UGAUGAGGAUUACCCAUGU</t>
  </si>
  <si>
    <t>GAUUGAGGAUCACCCAUGU</t>
  </si>
  <si>
    <t>AAGUGAGGAUUACCCAUGU</t>
  </si>
  <si>
    <t>CCAUGAGGAAUACCCAUGU</t>
  </si>
  <si>
    <t>UCGUGAGGAUUACCCAUGU</t>
  </si>
  <si>
    <t>CUGUGAGGAUCACCCAUGU</t>
  </si>
  <si>
    <t>GCAUGAGGACUACCCAUGU</t>
  </si>
  <si>
    <t>AAUUGAGGAACACCCAUGU</t>
  </si>
  <si>
    <t>GCGUGAGGACCACCCAUGU</t>
  </si>
  <si>
    <t>CGUUGAGGAUCACCCAUGU</t>
  </si>
  <si>
    <t>AUCUGGGGAUCACCCAUGU</t>
  </si>
  <si>
    <t>ACGUGUGGAUCUCCCAUGU</t>
  </si>
  <si>
    <t>AGAUAACGAUAACCCAUGU</t>
  </si>
  <si>
    <t>AAACGAGGGACACCCAUGU</t>
  </si>
  <si>
    <t>UCAUCAAGCUCACCCAUGU</t>
  </si>
  <si>
    <t>ACAUAAGUGCCACCCAUGU</t>
  </si>
  <si>
    <t>AGUUAUGGAUCACCCAUGU</t>
  </si>
  <si>
    <t>AAACGACGUUCACCCAUGU</t>
  </si>
  <si>
    <t>GCAUGAGGUUUUCCCAUGU</t>
  </si>
  <si>
    <t>ACCAAGGGAUCACCCAUGU</t>
  </si>
  <si>
    <t>ACAUACGGAGCGCCCAUGU</t>
  </si>
  <si>
    <t>ACUUGAUUAUCCCCCAUGU</t>
  </si>
  <si>
    <t>ACUUAUGGAUAACCCAUGU</t>
  </si>
  <si>
    <t>AAAGGGGGAUCCCCCAUGU</t>
  </si>
  <si>
    <t>UUAUCAGGAUUACCCAUGU</t>
  </si>
  <si>
    <t>AAGUUGGGAUCACCCAUGU</t>
  </si>
  <si>
    <t>AAAGUGGGAUCACCCAUGU</t>
  </si>
  <si>
    <t>ACUUCAAAAUCACCCAUGU</t>
  </si>
  <si>
    <t>CACUGAGGCUCACCCAUGU</t>
  </si>
  <si>
    <t>ACAUCAGGGCGACCCAUGU</t>
  </si>
  <si>
    <t>ACAAGUGGGUGACCCAUGU</t>
  </si>
  <si>
    <t>AACGAAGGAUCACCCAUGU</t>
  </si>
  <si>
    <t>UCACUGGGAUCACCCAUGU</t>
  </si>
  <si>
    <t>AUUUUGGGAUCACCCAUGU</t>
  </si>
  <si>
    <t>UCCUUGGGAUCACCCAUGU</t>
  </si>
  <si>
    <t>ACAUAAAAAUAACCCAUGU</t>
  </si>
  <si>
    <t>CAAUAAGGAUCGCCCAUGU</t>
  </si>
  <si>
    <t>CAAAGAGGACCACCCAUGU</t>
  </si>
  <si>
    <t>GGCUGAGGACCACCCAUGU</t>
  </si>
  <si>
    <t>AAAUGGGAACCACCCAUGU</t>
  </si>
  <si>
    <t>ACAUAAGAAUGUCCCAUGU</t>
  </si>
  <si>
    <t>GGAUGAGGAAUACCCAUGU</t>
  </si>
  <si>
    <t>AACAUAGGAUCACCCAUGU</t>
  </si>
  <si>
    <t>UUAUUGGGAUCACCCAUGU</t>
  </si>
  <si>
    <t>ACCCAAGGGUCACCCAUGU</t>
  </si>
  <si>
    <t>AUCAUAGGAUCACCCAUGU</t>
  </si>
  <si>
    <t>ACAUAAGGACUGCCCAUGU</t>
  </si>
  <si>
    <t>UGUUGAGGACCACCCAUGU</t>
  </si>
  <si>
    <t>ACUAGUGGGUCACCCAUGU</t>
  </si>
  <si>
    <t>AAAUAAGGUUCUCCCAUGU</t>
  </si>
  <si>
    <t>UUGUGAGGACCACCCAUGU</t>
  </si>
  <si>
    <t>GGCUGAGGAACACCCAUGU</t>
  </si>
  <si>
    <t>ACAUGGAAACCACCCAUGU</t>
  </si>
  <si>
    <t>ACGUGACCUUCACCCAUGU</t>
  </si>
  <si>
    <t>ACAUUCGGUGCACCCAUGU</t>
  </si>
  <si>
    <t>GACAGAGGAUCACCCAUGU</t>
  </si>
  <si>
    <t>CACUGAGGAUUACCCAUGU</t>
  </si>
  <si>
    <t>CUCUGAGGCUCACCCAUGU</t>
  </si>
  <si>
    <t>UGCAGAGGAUCACCCAUGU</t>
  </si>
  <si>
    <t>ACAUGACAUACACCCAUGU</t>
  </si>
  <si>
    <t>AGACAAGGUUCACCCAUGU</t>
  </si>
  <si>
    <t>CAUUGAGGAGCACCCAUGU</t>
  </si>
  <si>
    <t>CACAGAGGAUCACCCAUGU</t>
  </si>
  <si>
    <t>GACUGAGGAUUACCCAUGU</t>
  </si>
  <si>
    <t>CAGAGAGGAUCACCCAUGU</t>
  </si>
  <si>
    <t>CUUUGAGGAACACCCAUGU</t>
  </si>
  <si>
    <t>CAUCGAGGAUCACCCAUGU</t>
  </si>
  <si>
    <t>CACUGAGGAGCACCCAUGU</t>
  </si>
  <si>
    <t>UCAUUUGGUUCACCCAUGU</t>
  </si>
  <si>
    <t>UUUUGAGGACCACCCAUGU</t>
  </si>
  <si>
    <t>ACACGAGCGUUACCCAUGU</t>
  </si>
  <si>
    <t>UAGUGAGGAACACCCAUGU</t>
  </si>
  <si>
    <t>CAUAGAGGAUCACCCAUGU</t>
  </si>
  <si>
    <t>CACUGAGGACCACCCAUGU</t>
  </si>
  <si>
    <t>CAUUGAGGACCACCCAUGU</t>
  </si>
  <si>
    <t>CUUUGAGGACCACCCAUGU</t>
  </si>
  <si>
    <t>CUUUGAGGAGCACCCAUGU</t>
  </si>
  <si>
    <t>CCAUAAGGCACACCCAUGU</t>
  </si>
  <si>
    <t>CCCCGAGGAUAACCCAUGU</t>
  </si>
  <si>
    <t>ACAUAAUGAGCCCCCAUGU</t>
  </si>
  <si>
    <t>GAUUGAGGAACACCCAUGU</t>
  </si>
  <si>
    <t>CACUGAGGAACACCCAUGU</t>
  </si>
  <si>
    <t>CCAUACGCAUCACCCAUGU</t>
  </si>
  <si>
    <t>ACAUUAGGUACGCCCAUGU</t>
  </si>
  <si>
    <t>ACAUGCGCGACACCCAUGU</t>
  </si>
  <si>
    <t>AUAUGAGAAACGCCCAUGU</t>
  </si>
  <si>
    <t>ACUUGAAUAUCUCCCAUGU</t>
  </si>
  <si>
    <t>CCACAAGGAUCGCCCAUGU</t>
  </si>
  <si>
    <t>ACCUGAAAAUAACCCAUGU</t>
  </si>
  <si>
    <t>AF</t>
  </si>
  <si>
    <t>∆∆G (kT) - Experimental</t>
  </si>
  <si>
    <t>1_mut</t>
  </si>
  <si>
    <t>2_mut</t>
  </si>
  <si>
    <t>3_mut</t>
  </si>
  <si>
    <t>4_mut</t>
  </si>
  <si>
    <t>0-3_mut</t>
  </si>
  <si>
    <t>Pearson</t>
  </si>
  <si>
    <t>RNA_Mutation</t>
  </si>
  <si>
    <t>Protein_Mutation</t>
  </si>
  <si>
    <t>RNA_Sequence</t>
  </si>
  <si>
    <t>Protein_Sequence</t>
  </si>
  <si>
    <t>∆∆G - Experimental</t>
  </si>
  <si>
    <t>AVPETRPNHTIYINNLNEKIKKDELKKSLHAIFSRFGQILDILVSRSLKMRGQAFVIFKEVSSATNALRSMQGFPFYDKPMRIQYAKTDSDIIAKM</t>
  </si>
  <si>
    <t>AVPETRPVHTIYINNLNEKIKKDELKKSLHAIFSRFGQILDILVSRSLKMRGQAFVIFKEVSSATNALRSMQGFPFYDKPMRIQYAKTDSDIIAKM</t>
  </si>
  <si>
    <t>AVPETRPNNTIYINNLNEKIKKDELKKSLHAIFSRFGQILDILVSRSLKMRGQAFVIFKEVSSATNALRSMQGFPFYDKPMRIQYAKTDSDIIAKM</t>
  </si>
  <si>
    <t>AVPETRPNHTIFINNLNEKIKKDELKKSLHAIFSRFGQILDILVSRSLKMRGQAFVIFKEVSSATNALRSMQGFPFYDKPMRIQYAKTDSDIIAKM</t>
  </si>
  <si>
    <t>AVPETRPNHTIYINVLNEKIKKDELKKSLHAIFSRFGQILDILVSRSLKMRGQAFVIFKEVSSATNALRSMQGFPFYDKPMRIQYAKTDSDIIAKM</t>
  </si>
  <si>
    <t>AVPETRPNHTIYINNLAEKIKKDELKKSLHAIFSRFGQILDILVSRSLKMRGQAFVIFKEVSSATNALRSMQGFPFYDKPMRIQYAKTDSDIIAKM</t>
  </si>
  <si>
    <t>AVPETRPNHTIYINNLNDKIKKDELKKSLHAIFSRFGQILDILVSRSLKMRGQAFVIFKEVSSATNALRSMQGFPFYDKPMRIQYAKTDSDIIAKM</t>
  </si>
  <si>
    <t>AVPETRPNHTIYINNLNEKIKKDELKKSLHAIFSRFGHILDILVSRSLKMRGQAFVIFKEVSSATNALRSMQGFPFYDKPMRIQYAKTDSDIIAKM</t>
  </si>
  <si>
    <t>AVPETRPNHTIYINNLNEKIKKDELKKSLHAIFSRFGQILDILVARSLKMRGQAFVIFKEVSSATNALRSMQGFPFYDKPMRIQYAKTDSDIIAKM</t>
  </si>
  <si>
    <t>AVPETRPNHTIYINNLNEKIKKDELKKSLHAIFSRFGQILDILVLRSLKMRGQAFVIFKEVSSATNALRSMQGFPFYDKPMRIQYAKTDSDIIAKM</t>
  </si>
  <si>
    <t>AVPETRPNHTIYINNLNEKIKKDELKKSLHAIFSRFGQILDILVSRALKMRGQAFVIFKEVSSATNALRSMQGFPFYDKPMRIQYAKTDSDIIAKM</t>
  </si>
  <si>
    <t>AVPETRPNHTIYINNLNEKIKKDELKKSLHAIFSRFGQILDILVSRTLKMRGQAFVIFKEVSSATNALRSMQGFPFYDKPMRIQYAKTDSDIIAKM</t>
  </si>
  <si>
    <t>AVPETRPNHTIYINNLNEKIKKDELKKSLHAIFSRFGQILDILVLRTLKMRGQAFVIFKEVSSATNALRSMQGFPFYDKPMRIQYAKTDSDIIAKM</t>
  </si>
  <si>
    <t>AVPETRPNHTIYINNLNEKIKKDELKKSLHAIFSRFGQILDILVSRSAKMRGQAFVIFKEVSSATNALRSMQGFPFYDKPMRIQYAKTDSDIIAKM</t>
  </si>
  <si>
    <t>AVPETRPNHTIYINNLNEKIKKDELKKSLHAIFSRFGQILDILVSRSLKMKGQAFVIFKEVSSATNALRSMQGFPFYDKPMRIQYAKTDSDIIAKM</t>
  </si>
  <si>
    <t>AVPETRPNHTIYINNLNEKIKKDELKKSLHAIFSRFGQILDILVSRSLKMRGFAFVIFKEVSSATNALRSMQGFPFYDKPMRIQYAKTDSDIIAKM</t>
  </si>
  <si>
    <t>AVPETRPNHTIYINNLNEKIKKDELKKSLHAIFSRFGQILDILVSRSLKMRGQAYVIFKEVSSATNALRSMQGFPFYDKPMRIQYAKTDSDIIAKM</t>
  </si>
  <si>
    <t>AVPETRPNHTIYINNLNEKIKKDELKKSLHAIFSRFGQILDILVSRSLKMRGQAFVIFKEVSSATNALRSMQGFPFYVKPMRIQYAKTDSDIIAKM</t>
  </si>
  <si>
    <t>AVPETRPNHTIYINNLNEKIKKDELKKSLHAIFSRFGQILDILVSRSLKMRGQAFVIFKEVSSATNALRSMQGFPFYDKPMRIVYAKTDSDIIAKM</t>
  </si>
  <si>
    <t>aauccauugcacuccggauuu</t>
  </si>
  <si>
    <t>∆∆G - 0k_Proteins</t>
  </si>
  <si>
    <t>∆G - 0k_Proteins</t>
  </si>
  <si>
    <t>Mutation_cutoff</t>
  </si>
  <si>
    <t>&gt;0.95</t>
  </si>
  <si>
    <t>Native</t>
  </si>
  <si>
    <t>IRIS_DEFAULT_PARAMETERS</t>
  </si>
  <si>
    <t>N_values</t>
  </si>
  <si>
    <t>Mut_Cutoff</t>
  </si>
  <si>
    <t>∆G - 1k_Proteins</t>
  </si>
  <si>
    <t>∆G - 5k_Proteins</t>
  </si>
  <si>
    <t>∆G - 10k_Proteins</t>
  </si>
  <si>
    <t>∆∆G - 1k_Proteins</t>
  </si>
  <si>
    <t>∆∆G - 5k_Proteins</t>
  </si>
  <si>
    <t>∆∆G - 10k_Proteins</t>
  </si>
  <si>
    <t>∆G - 5k_Proteins+12_phi</t>
  </si>
  <si>
    <t>∆G - 10k_Proteins+12_phi</t>
  </si>
  <si>
    <t>∆G - 100k_Proteins+12_phi</t>
  </si>
  <si>
    <t>∆∆G - 5k_Proteins+12_phi</t>
  </si>
  <si>
    <t>∆∆G - 10k_Proteins+12_phi</t>
  </si>
  <si>
    <t>∆∆G - 100k_Proteins+12_phi</t>
  </si>
  <si>
    <t>NTENKSQPKRLHVSNIPFRFRDPDLRQMFGQFGKILDVEIIFNERGSKGFGFVTFENSADADRAREKLHGTVVEGRKIEVNNATARVM</t>
  </si>
  <si>
    <t>NTENKSQPKRLHVSNIPYRFRDPDLRQMFGQFGKILDVEIIFNERGSKGFGFVTFENSADADRAREKLHGTVVEGRKIEVNNATARVM</t>
  </si>
  <si>
    <t>NTENKSQPKRLHVSNIPWRFRDPDLRQMFGQFGKILDVEIIFNERGSKGFGFVTFENSADADRAREKLHGTVVEGRKIEVNNATARVM</t>
  </si>
  <si>
    <t>NTENKSQPKRLHVSNIPHRFRDPDLRQMFGQFGKILDVEIIFNERGSKGFGFVTFENSADADRAREKLHGTVVEGRKIEVNNATARVM</t>
  </si>
  <si>
    <t>NTENKSQPKRLHVSNIPLRFRDPDLRQMFGQFGKILDVEIIFNERGSKGFGFVTFENSADADRAREKLHGTVVEGRKIEVNNATARVM</t>
  </si>
  <si>
    <t>NTENKSQPKRLHVSNIPRRFRDPDLRQMFGQFGKILDVEIIFNERGSKGFGFVTFENSADADRAREKLHGTVVEGRKIEVNNATARVM</t>
  </si>
  <si>
    <t>NTENKSQPKRLHVSNIPIRFRDPDLRQMFGQFGKILDVEIIFNERGSKGFGFVTFENSADADRAREKLHGTVVEGRKIEVNNATARVM</t>
  </si>
  <si>
    <t>NTENKSQPKRLHVSNIPARFRDPDLRQMFGQFGKILDVEIIFNERGSKGFGFVTFENSADADRAREKLHGTVVEGRKIEVNNATARVM</t>
  </si>
  <si>
    <t>NTENKSQPKRLAVSNIPFRFRDPDLRQMFGQFGKILDVEIIFNERGSKGFGFVTFENSADADRAREKLHGTVVEGRKIEVNNATARVM</t>
  </si>
  <si>
    <t>NTENKSQPKRLHVSNIPFRFRDPDLRQMFGQFGKILDVEIIFNERGSKGAGFVTFENSADADRAREKLHGTVVEGRKIEVNNATARVM</t>
  </si>
  <si>
    <t>NTENKSQPKRLHVSNIPFRFRDPDLRQMFGQFGKILDVEIIFNERGSKGFGAVTFENSADADRAREKLHGTVVEGRKIEVNNATARVM</t>
  </si>
  <si>
    <t>ugcaugu</t>
  </si>
  <si>
    <t>agcaugu</t>
  </si>
  <si>
    <t>cgcaugu</t>
  </si>
  <si>
    <t>uguaugu</t>
  </si>
  <si>
    <t>uacaugu</t>
  </si>
  <si>
    <t>ugcacgu</t>
  </si>
  <si>
    <t>ugcauau</t>
  </si>
  <si>
    <t>∆G - 100k_Proteins</t>
  </si>
  <si>
    <t>∆∆G - 100k_Proteins</t>
  </si>
  <si>
    <t>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</t>
  </si>
  <si>
    <t>GRSRLLEDFRNNRYPNLQLREIAGHIMEFSQDQHGSRFIQLKLERATPAERQLVFNEILQAAYQLMVDVFGNYVIQKFFEFGSLEQKLALAERIRGHVLSLALQMYGCRVIQKALEFIPSDQQNEMVRELDGHVLKCVKDQNGNHVVQKCIECVQPQSLQFIIDAFKGQVFALSTHPYGCRVIQRILEHCLPDQTLPILEELHQHTEQLVQDQYGNYVIQHVLEHGRPEDKSKIVAEIRGNVLVLSQHKFANNVVQKCVTHASRTERAVLIDEVCTMNDGPHSALYTMMKDQYANYVVQKMIDVAEPGQRKIVMHKIRPHIATLRKYTYGKHILAKLEKY</t>
  </si>
  <si>
    <t>GRSRLLEDFRNNRYPNLQLREIAGHIMEFSQDQHGSRFIQLKLERATPAERQLVFNEILQAAYQLMVDVFGNYVIQKFFEFGSLEQKLALAERIRGHVLSLALQMYGCRVIQKALEFIPSDQQNEMVRELDGHVLKCVKDQNGNHVVQKCIECVQPQSLQFIIDAFKGQVFALSTHPYGCRVIQRILEHCLPDQTLPILEELHQHTEQLVQDQYGSYVIEHVLEHGRPEDKSKIVAEIRGNVLVLSQHKFANNVVQKCVTHASRTERAVLIDEVCTMNDGPHSALYTMMKDQYANYVVQKMIDVAEPGQRKIVMHKIRPHIATLRKYTYGKHILAKLEKY</t>
  </si>
  <si>
    <t>GRSRLLEDFRNNRYPNLQLREIAGHIMEFSQDQHGSRFIQLKLERATPAERQLVFNEILQAAYQLMVDVFGNYVIQKFFEFGSLEQKLALAERIRGHVLSLALQMYGSRVIEKALEFIPSDQQNEMVRELDGHVLKCVKDQNGNHVVQKCIECVQPQSLQFIIDAFKGQVFALSTHPYGCRVIQRILEHCLPDQTLPILEELHQHTEQLVQDQYGNYVIQHVLEHGRPEDKSKIVAEIRGNVLVLSQHKFASNVVEKCVTHASRTERAVLIDEVCTMNDGPHSALYTMMKDQYANYVVQKMIDVAEPGQRKIVMHKIRPHIATLRKYTYGKHILAKLEKY</t>
  </si>
  <si>
    <t>GRSRLLEDFRNNRYPNLQLREIAGHIMEFSQDQHGSRFIQLKLERATPAERQLVFNEILQAAYQLMVDVFGNYVIQKFFEFGSLEQKLALAERIRGHVLSLALQMYGCRVIQKALEFIPSDQQNEMVRELDGHVLKCVKDQNGNHVVQKCIECVQPQSLQFIIDAFKGQVFALSTHPYGCRVIQRILEHCLPDQTLPILEELHQHTEQLVQDQYGNYVIQHVLEHGRPEDKSKIVAEIRGNVLVLSQHKFASNVVQKCVTHASRTERAVLIDEVCTMNDGPHSALYTMMKDQYANYVVQKMIDVAEPGQRKIVMHKIRPHIATLRKYTYGKHILAKLEKY</t>
  </si>
  <si>
    <t>GRSRLLEDFRNNRYPNLQLREIAGHIMEFSQDQHGSRFIQLKLERATPAERQLVFNEILQAAYQLMVDVFGNYVIQKFFEFGSLEQKLALAERIRGHVLSLALQMYGNRVIQKALEFIPSDQQNEMVRELDGHVLKCVKDQNGNHVVQKCIECVQPQSLQFIIDAFKGQVFALSTHPYGCRVIQRILEHCLPDQTLPILEELHQHTEQLVQDQYGNYVIQHVLEHGRPEDKSKIVAEIRGNVLVLSQHKFASNVVEKCVTHASRTERAVLIDEVCTMNDGPHSALYTMMKDQYANYVVQKMIDVAEPGQRKIVMHKIRPHIATLRKYTYGKHILAKLEKY</t>
  </si>
  <si>
    <t>uuguauau</t>
  </si>
  <si>
    <t>uuuuauau</t>
  </si>
  <si>
    <t>uuauauau</t>
  </si>
  <si>
    <t>uuugauau</t>
  </si>
  <si>
    <t>uuguaugu</t>
  </si>
  <si>
    <t>uuguauuu</t>
  </si>
  <si>
    <t>GFDLNDFLEQLRQDDKVLVRMEAIINSMTMKERAKPEIIKGSRKRRIAAGSGMQVQDVNRLLKQFDDMQRMMKKMK</t>
  </si>
  <si>
    <t>gcucuguuuaccaggucagguccgaaaggaagcagccaaggcagagc</t>
  </si>
  <si>
    <t>gcucuguuuaucaggucagguccgaaaggaagcagccaaggcagagc</t>
  </si>
  <si>
    <t>gcucuguuuaccaggccagguccgaaaggaagcagccaaggcagagc</t>
  </si>
  <si>
    <t>gcucuguuuaccaggucagguccgaaaggaagcaaccaaggcagagc</t>
  </si>
  <si>
    <t>gcucuguuuaccaggccagguccgaaaggaagcaaccaaggcagagc</t>
  </si>
  <si>
    <t>gcucuguuuaccagguuagguccgaaaggaagcagccaaggcagagc</t>
  </si>
  <si>
    <t>gcucuguuuaccaggugagguccgaaaggaagcagccaaggcagagc</t>
  </si>
  <si>
    <t>gcucuguuuaccaggucagguccgaaaggaagcggccaaggcagagc</t>
  </si>
  <si>
    <t>gcucuguuuaccaggucagguccgaaaggaaguagccaaggcagagc</t>
  </si>
  <si>
    <t>gcucuguuuaccaggucagauccgaaaggaagcagccaaggcagagc</t>
  </si>
  <si>
    <t>gcucuguuuaccaggucaguuccgaaaggaagcagccaaggcagagc</t>
  </si>
  <si>
    <t>gcucuguuuaccaggucagguccgaaaggaggcagccaaggcagagc</t>
  </si>
  <si>
    <t>gcucuguuuaccaggucagguccgaaaggacgcagccaaggcagagc</t>
  </si>
  <si>
    <t>gcucuguuuaccaggucagauccgaaaggaggcagccaaggcagagc</t>
  </si>
  <si>
    <t>&lt;0.95</t>
  </si>
  <si>
    <t>Gamma Matrix out of range</t>
  </si>
  <si>
    <t>*Gamma Matrix out of range</t>
  </si>
  <si>
    <t>*Sequences not used in manuscript</t>
  </si>
  <si>
    <t>MS2-2C4Q</t>
  </si>
  <si>
    <t>U1A-1URN</t>
  </si>
  <si>
    <t>FOX1-2ERR</t>
  </si>
  <si>
    <t>∆∆G - 1k_Protein</t>
  </si>
  <si>
    <t>∆∆G - 5k_Protein</t>
  </si>
  <si>
    <t>∆∆G - 10k_Protein</t>
  </si>
  <si>
    <t>∆∆G - 10k_Protein_0.95nm</t>
  </si>
  <si>
    <t>∆G - 1k_Protein</t>
  </si>
  <si>
    <t>∆G - 5k_Protein</t>
  </si>
  <si>
    <t>∆G - 10k_Protein</t>
  </si>
  <si>
    <t>∆G - 10k_Protein_0.95nm</t>
  </si>
  <si>
    <t>PUM1-IM8W</t>
  </si>
  <si>
    <t>SRP-1HQ1</t>
  </si>
  <si>
    <t>*Gamma 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</si>
</sst>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sz val="12"/>
      <color rgb="FF000000"/>
      <name val="Helvetica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Helvetica Neue"/>
      <family val="2"/>
    </font>
    <font>
      <b/>
      <sz val="12"/>
      <color theme="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FF7A74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/>
    <xf numFmtId="0" fontId="2" fillId="0" borderId="0" xfId="0" applyFont="1"/>
    <xf numFmtId="43" fontId="0" fillId="0" borderId="0" xfId="1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8" fillId="0" borderId="0" xfId="0" applyFont="1"/>
    <xf numFmtId="2" fontId="7" fillId="0" borderId="0" xfId="1" applyNumberFormat="1" applyFont="1"/>
    <xf numFmtId="2" fontId="7" fillId="0" borderId="0" xfId="1" applyNumberFormat="1" applyFont="1" applyFill="1"/>
    <xf numFmtId="0" fontId="0" fillId="11" borderId="0" xfId="0" applyFill="1" applyAlignment="1">
      <alignment horizontal="center"/>
    </xf>
    <xf numFmtId="1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13" borderId="0" xfId="0" applyFont="1" applyFill="1" applyAlignment="1">
      <alignment horizontal="center"/>
    </xf>
    <xf numFmtId="2" fontId="0" fillId="0" borderId="0" xfId="1" applyNumberFormat="1" applyFont="1" applyAlignment="1">
      <alignment horizontal="center"/>
    </xf>
    <xf numFmtId="0" fontId="1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11" fillId="13" borderId="0" xfId="0" applyFont="1" applyFill="1" applyAlignment="1">
      <alignment horizontal="left" vertical="top" wrapText="1"/>
    </xf>
    <xf numFmtId="0" fontId="10" fillId="13" borderId="0" xfId="0" applyFont="1" applyFill="1"/>
    <xf numFmtId="0" fontId="9" fillId="14" borderId="0" xfId="0" applyFont="1" applyFill="1" applyAlignment="1">
      <alignment horizontal="center"/>
    </xf>
    <xf numFmtId="0" fontId="11" fillId="14" borderId="0" xfId="0" applyFont="1" applyFill="1" applyAlignment="1">
      <alignment horizontal="left"/>
    </xf>
    <xf numFmtId="0" fontId="11" fillId="1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7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'U1A-1URN'!$AN$2:$AN$15</c:f>
              <c:numCache>
                <c:formatCode>0.00</c:formatCode>
                <c:ptCount val="14"/>
                <c:pt idx="0">
                  <c:v>1.62483</c:v>
                </c:pt>
                <c:pt idx="1">
                  <c:v>0.41588799999999998</c:v>
                </c:pt>
                <c:pt idx="2">
                  <c:v>0.65916699999999995</c:v>
                </c:pt>
                <c:pt idx="3">
                  <c:v>1.931325</c:v>
                </c:pt>
                <c:pt idx="4">
                  <c:v>0.41588799999999998</c:v>
                </c:pt>
                <c:pt idx="5">
                  <c:v>1.318335</c:v>
                </c:pt>
                <c:pt idx="6">
                  <c:v>0.41588799999999998</c:v>
                </c:pt>
                <c:pt idx="7">
                  <c:v>0</c:v>
                </c:pt>
                <c:pt idx="8">
                  <c:v>1.247665</c:v>
                </c:pt>
                <c:pt idx="9">
                  <c:v>0.41588799999999998</c:v>
                </c:pt>
                <c:pt idx="10">
                  <c:v>2.964985</c:v>
                </c:pt>
                <c:pt idx="11">
                  <c:v>0.65916699999999995</c:v>
                </c:pt>
                <c:pt idx="12">
                  <c:v>0.41588799999999998</c:v>
                </c:pt>
                <c:pt idx="13">
                  <c:v>0.83177699999999999</c:v>
                </c:pt>
              </c:numCache>
            </c:numRef>
          </c:xVal>
          <c:yVal>
            <c:numRef>
              <c:f>'U1A-1URN'!$AO$2:$AO$15</c:f>
              <c:numCache>
                <c:formatCode>General</c:formatCode>
                <c:ptCount val="14"/>
                <c:pt idx="0">
                  <c:v>2.8397790000000001</c:v>
                </c:pt>
                <c:pt idx="1">
                  <c:v>-0.34416000000000224</c:v>
                </c:pt>
                <c:pt idx="2">
                  <c:v>2.1209169999999986</c:v>
                </c:pt>
                <c:pt idx="3">
                  <c:v>6.824100000000044E-2</c:v>
                </c:pt>
                <c:pt idx="4">
                  <c:v>2.5611000000000033</c:v>
                </c:pt>
                <c:pt idx="5">
                  <c:v>1.7581500000000005</c:v>
                </c:pt>
                <c:pt idx="6">
                  <c:v>3.4050500000000028</c:v>
                </c:pt>
                <c:pt idx="7">
                  <c:v>3.7602609999999999</c:v>
                </c:pt>
                <c:pt idx="8">
                  <c:v>5.5184110000000004</c:v>
                </c:pt>
                <c:pt idx="9">
                  <c:v>4.6838139999999981</c:v>
                </c:pt>
                <c:pt idx="10">
                  <c:v>0.24428999999999945</c:v>
                </c:pt>
                <c:pt idx="11">
                  <c:v>3.6759999999986803E-3</c:v>
                </c:pt>
                <c:pt idx="12">
                  <c:v>-0.20372299999999655</c:v>
                </c:pt>
                <c:pt idx="13">
                  <c:v>-1.7649999999989063E-3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E-FF4C-8BBE-5323F70AD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36863"/>
        <c:axId val="1585510399"/>
      </c:scatterChart>
      <c:valAx>
        <c:axId val="180023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510399"/>
        <c:crosses val="autoZero"/>
        <c:crossBetween val="midCat"/>
      </c:valAx>
      <c:valAx>
        <c:axId val="15855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23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196850</xdr:colOff>
      <xdr:row>12</xdr:row>
      <xdr:rowOff>63500</xdr:rowOff>
    </xdr:from>
    <xdr:to>
      <xdr:col>36</xdr:col>
      <xdr:colOff>1784350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E6D27-D319-1FC8-CE5E-6D957182F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E52C-1011-7F4F-A8F3-8EC9D115A53F}">
  <dimension ref="A1:L45"/>
  <sheetViews>
    <sheetView tabSelected="1" zoomScale="64" workbookViewId="0">
      <selection activeCell="M14" sqref="M14"/>
    </sheetView>
  </sheetViews>
  <sheetFormatPr baseColWidth="10" defaultRowHeight="16" x14ac:dyDescent="0.2"/>
  <cols>
    <col min="1" max="1" width="14.1640625" bestFit="1" customWidth="1"/>
    <col min="2" max="2" width="23.1640625" bestFit="1" customWidth="1"/>
    <col min="3" max="5" width="18.6640625" bestFit="1" customWidth="1"/>
    <col min="6" max="6" width="19.83203125" bestFit="1" customWidth="1"/>
    <col min="7" max="7" width="26.33203125" bestFit="1" customWidth="1"/>
    <col min="8" max="8" width="27.5" bestFit="1" customWidth="1"/>
    <col min="9" max="9" width="28.6640625" bestFit="1" customWidth="1"/>
    <col min="10" max="10" width="26.33203125" bestFit="1" customWidth="1"/>
    <col min="11" max="11" width="27.5" bestFit="1" customWidth="1"/>
    <col min="12" max="12" width="28.6640625" bestFit="1" customWidth="1"/>
  </cols>
  <sheetData>
    <row r="1" spans="1:12" x14ac:dyDescent="0.2">
      <c r="A1" s="28" t="s">
        <v>0</v>
      </c>
      <c r="B1" s="28"/>
    </row>
    <row r="2" spans="1:12" x14ac:dyDescent="0.2">
      <c r="A2" t="s">
        <v>1</v>
      </c>
      <c r="B2" s="1" t="s">
        <v>2</v>
      </c>
    </row>
    <row r="3" spans="1:12" x14ac:dyDescent="0.2">
      <c r="A3" t="s">
        <v>3</v>
      </c>
      <c r="B3" s="1" t="s">
        <v>4</v>
      </c>
    </row>
    <row r="4" spans="1:12" x14ac:dyDescent="0.2">
      <c r="A4" t="s">
        <v>5</v>
      </c>
      <c r="B4" s="1" t="s">
        <v>6</v>
      </c>
    </row>
    <row r="5" spans="1:12" x14ac:dyDescent="0.2">
      <c r="A5" t="s">
        <v>7</v>
      </c>
      <c r="B5" s="1" t="s">
        <v>8</v>
      </c>
    </row>
    <row r="6" spans="1:12" x14ac:dyDescent="0.2">
      <c r="A6" t="s">
        <v>9</v>
      </c>
      <c r="B6" s="1" t="s">
        <v>10</v>
      </c>
    </row>
    <row r="7" spans="1:12" x14ac:dyDescent="0.2">
      <c r="A7" t="s">
        <v>11</v>
      </c>
      <c r="B7" s="1" t="s">
        <v>12</v>
      </c>
    </row>
    <row r="8" spans="1:12" x14ac:dyDescent="0.2">
      <c r="A8" t="s">
        <v>13</v>
      </c>
      <c r="B8" s="1">
        <v>25</v>
      </c>
    </row>
    <row r="10" spans="1:12" x14ac:dyDescent="0.2">
      <c r="A10" s="3" t="s">
        <v>544</v>
      </c>
      <c r="B10" s="3" t="s">
        <v>479</v>
      </c>
      <c r="C10" s="3" t="s">
        <v>473</v>
      </c>
      <c r="D10" s="2" t="s">
        <v>547</v>
      </c>
      <c r="E10" s="2" t="s">
        <v>548</v>
      </c>
      <c r="F10" s="2" t="s">
        <v>549</v>
      </c>
      <c r="G10" s="2"/>
      <c r="H10" s="23"/>
      <c r="I10" s="23"/>
      <c r="J10" s="10"/>
      <c r="K10" s="10"/>
      <c r="L10" s="10"/>
    </row>
    <row r="11" spans="1:12" x14ac:dyDescent="0.2">
      <c r="A11" s="2" t="s">
        <v>442</v>
      </c>
      <c r="B11" s="22">
        <v>21</v>
      </c>
      <c r="C11" s="23">
        <v>0.49502141672986127</v>
      </c>
      <c r="D11" s="23">
        <v>0.36101467449111313</v>
      </c>
      <c r="E11" s="23">
        <v>0.1113218860631673</v>
      </c>
      <c r="F11" s="23">
        <v>0.11639396104061224</v>
      </c>
      <c r="G11" s="23"/>
      <c r="H11" s="23"/>
      <c r="I11" s="23"/>
      <c r="J11" s="10"/>
      <c r="K11" s="10"/>
      <c r="L11" s="10"/>
    </row>
    <row r="12" spans="1:12" x14ac:dyDescent="0.2">
      <c r="A12" s="2" t="s">
        <v>443</v>
      </c>
      <c r="B12" s="22">
        <v>132</v>
      </c>
      <c r="C12" s="23">
        <v>0.48219924108259282</v>
      </c>
      <c r="D12" s="23">
        <v>0.49344585615629261</v>
      </c>
      <c r="E12" s="23">
        <v>0.24785550568406439</v>
      </c>
      <c r="F12" s="23">
        <v>0.20551216635394637</v>
      </c>
      <c r="G12" s="23"/>
      <c r="H12" s="23"/>
      <c r="I12" s="23"/>
      <c r="J12" s="10"/>
      <c r="K12" s="10"/>
      <c r="L12" s="10"/>
    </row>
    <row r="13" spans="1:12" x14ac:dyDescent="0.2">
      <c r="A13" s="2" t="s">
        <v>444</v>
      </c>
      <c r="B13" s="22">
        <v>192</v>
      </c>
      <c r="C13" s="23">
        <v>0.55765805320269446</v>
      </c>
      <c r="D13" s="23">
        <v>0.50494603114290137</v>
      </c>
      <c r="E13" s="23">
        <v>0.18204539331776823</v>
      </c>
      <c r="F13" s="23">
        <v>0.15112989018222803</v>
      </c>
      <c r="G13" s="23"/>
      <c r="H13" s="23"/>
      <c r="I13" s="23"/>
      <c r="J13" s="10"/>
      <c r="K13" s="10"/>
      <c r="L13" s="10"/>
    </row>
    <row r="14" spans="1:12" x14ac:dyDescent="0.2">
      <c r="A14" s="2" t="s">
        <v>445</v>
      </c>
      <c r="B14" s="22">
        <v>77</v>
      </c>
      <c r="C14" s="23">
        <v>-4.6289499549062342E-2</v>
      </c>
      <c r="D14" s="23">
        <v>-8.5020177445947101E-2</v>
      </c>
      <c r="E14" s="23">
        <v>-0.10914028077242674</v>
      </c>
      <c r="F14" s="23">
        <v>-8.8114859886563188E-2</v>
      </c>
      <c r="G14" s="23"/>
      <c r="H14" s="23"/>
      <c r="I14" s="23"/>
      <c r="J14" s="10"/>
      <c r="K14" s="10"/>
      <c r="L14" s="10"/>
    </row>
    <row r="15" spans="1:12" x14ac:dyDescent="0.2">
      <c r="A15" s="2" t="s">
        <v>446</v>
      </c>
      <c r="B15" s="22">
        <v>346</v>
      </c>
      <c r="C15" s="23">
        <v>0.51562034170956006</v>
      </c>
      <c r="D15" s="23">
        <v>0.50916798213967929</v>
      </c>
      <c r="E15" s="23">
        <v>0.27188652826743759</v>
      </c>
      <c r="F15" s="23">
        <v>0.23925699729546304</v>
      </c>
      <c r="G15" s="23"/>
      <c r="H15" s="1"/>
      <c r="I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3" t="s">
        <v>545</v>
      </c>
      <c r="B17" s="3" t="s">
        <v>479</v>
      </c>
      <c r="C17" s="3" t="s">
        <v>473</v>
      </c>
      <c r="D17" s="3" t="s">
        <v>484</v>
      </c>
      <c r="E17" s="3" t="s">
        <v>485</v>
      </c>
      <c r="F17" s="3" t="s">
        <v>486</v>
      </c>
      <c r="G17" s="3" t="s">
        <v>490</v>
      </c>
      <c r="H17" s="3" t="s">
        <v>491</v>
      </c>
      <c r="I17" s="3" t="s">
        <v>492</v>
      </c>
    </row>
    <row r="18" spans="1:9" x14ac:dyDescent="0.2">
      <c r="A18" s="2">
        <v>0.3</v>
      </c>
      <c r="B18" s="22">
        <v>3</v>
      </c>
      <c r="C18" s="23">
        <v>0.95667249308710933</v>
      </c>
      <c r="D18" s="23">
        <v>0.98005418037568037</v>
      </c>
      <c r="E18" s="23">
        <v>0.98005418037568037</v>
      </c>
      <c r="F18" s="23">
        <v>0.92224385093209083</v>
      </c>
      <c r="G18" s="23">
        <v>0.40548978925689061</v>
      </c>
      <c r="H18" s="23">
        <v>0.58962358106372748</v>
      </c>
      <c r="I18" s="23">
        <v>0.80277730897970756</v>
      </c>
    </row>
    <row r="19" spans="1:9" x14ac:dyDescent="0.2">
      <c r="A19" s="2">
        <v>0.4</v>
      </c>
      <c r="B19" s="22">
        <v>13</v>
      </c>
      <c r="C19" s="23">
        <v>-0.12193858270605665</v>
      </c>
      <c r="D19" s="23">
        <v>-2.0903712360277091E-2</v>
      </c>
      <c r="E19" s="23">
        <v>-2.0903712360277091E-2</v>
      </c>
      <c r="F19" s="23">
        <v>-9.9585999926135482E-2</v>
      </c>
      <c r="G19" s="23">
        <v>-0.23726920977285382</v>
      </c>
      <c r="H19" s="23">
        <v>-0.25642209223841095</v>
      </c>
      <c r="I19" s="23">
        <v>-0.25981088884049613</v>
      </c>
    </row>
    <row r="20" spans="1:9" x14ac:dyDescent="0.2">
      <c r="A20" s="2">
        <v>0.5</v>
      </c>
      <c r="B20" s="22">
        <v>13</v>
      </c>
      <c r="C20" s="23">
        <v>-0.12193858270605665</v>
      </c>
      <c r="D20" s="23">
        <v>-2.0903712360277091E-2</v>
      </c>
      <c r="E20" s="23">
        <v>-2.0903712360277091E-2</v>
      </c>
      <c r="F20" s="23">
        <v>-9.9585999926135482E-2</v>
      </c>
      <c r="G20" s="23">
        <v>-0.23726920977285382</v>
      </c>
      <c r="H20" s="23">
        <v>-0.25642209223841095</v>
      </c>
      <c r="I20" s="23">
        <v>-0.25981088884049613</v>
      </c>
    </row>
    <row r="21" spans="1:9" x14ac:dyDescent="0.2">
      <c r="A21" s="2">
        <v>0.7</v>
      </c>
      <c r="B21" s="22">
        <v>14</v>
      </c>
      <c r="C21" s="23">
        <v>-0.1095489941867423</v>
      </c>
      <c r="D21" s="23">
        <v>-1.0687629367731502E-2</v>
      </c>
      <c r="E21" s="23">
        <v>-1.0687629367731502E-2</v>
      </c>
      <c r="F21" s="23">
        <v>-8.6243202016702478E-2</v>
      </c>
      <c r="G21" s="23">
        <v>-0.21672100167324179</v>
      </c>
      <c r="H21" s="23">
        <v>-0.23437917869340241</v>
      </c>
      <c r="I21" s="23">
        <v>-0.23765095471156178</v>
      </c>
    </row>
    <row r="22" spans="1:9" x14ac:dyDescent="0.2">
      <c r="A22" s="2">
        <v>0.95</v>
      </c>
      <c r="B22" s="22">
        <v>17</v>
      </c>
      <c r="C22" s="23">
        <v>-3.2264744201643443E-2</v>
      </c>
      <c r="D22" s="23">
        <v>5.8788329951248726E-2</v>
      </c>
      <c r="E22" s="23">
        <v>5.8788329951248726E-2</v>
      </c>
      <c r="F22" s="23">
        <v>-4.2544626095402755E-3</v>
      </c>
      <c r="G22" s="23">
        <v>-0.11041569623842849</v>
      </c>
      <c r="H22" s="23">
        <v>-0.12351885250793528</v>
      </c>
      <c r="I22" s="23">
        <v>-0.12622163146415227</v>
      </c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3" t="s">
        <v>546</v>
      </c>
      <c r="B24" s="3" t="s">
        <v>479</v>
      </c>
      <c r="C24" s="32" t="s">
        <v>473</v>
      </c>
      <c r="D24" s="3" t="s">
        <v>484</v>
      </c>
      <c r="E24" s="3" t="s">
        <v>485</v>
      </c>
      <c r="F24" s="3" t="s">
        <v>486</v>
      </c>
      <c r="G24" s="3" t="s">
        <v>512</v>
      </c>
      <c r="H24" s="1"/>
      <c r="I24" s="1"/>
    </row>
    <row r="25" spans="1:9" x14ac:dyDescent="0.2">
      <c r="A25" s="2">
        <v>0.3</v>
      </c>
      <c r="B25" s="22">
        <v>6</v>
      </c>
      <c r="C25" s="23">
        <v>-0.552455010840875</v>
      </c>
      <c r="D25" s="23">
        <v>-0.27680504496799863</v>
      </c>
      <c r="E25" s="23">
        <v>0.13087198622690624</v>
      </c>
      <c r="F25" s="23">
        <v>0.28076012622486374</v>
      </c>
      <c r="G25" s="23">
        <v>0.42899982575804613</v>
      </c>
      <c r="H25" s="1"/>
      <c r="I25" s="1"/>
    </row>
    <row r="26" spans="1:9" x14ac:dyDescent="0.2">
      <c r="A26" s="2">
        <v>0.4</v>
      </c>
      <c r="B26" s="22">
        <v>14</v>
      </c>
      <c r="C26" s="23">
        <v>0.12112714752186475</v>
      </c>
      <c r="D26" s="23">
        <v>-0.42482969103599233</v>
      </c>
      <c r="E26" s="23">
        <v>-0.20730681730654588</v>
      </c>
      <c r="F26" s="23">
        <v>-0.10850785607263956</v>
      </c>
      <c r="G26" s="23">
        <v>1.6527961868909622E-2</v>
      </c>
      <c r="H26" s="1"/>
      <c r="I26" s="1"/>
    </row>
    <row r="27" spans="1:9" x14ac:dyDescent="0.2">
      <c r="A27" s="2">
        <v>0.5</v>
      </c>
      <c r="B27" s="22">
        <v>16</v>
      </c>
      <c r="C27" s="23">
        <v>-0.13880383427619031</v>
      </c>
      <c r="D27" s="23">
        <v>-0.38155055907167629</v>
      </c>
      <c r="E27" s="23">
        <v>-0.20686857849486634</v>
      </c>
      <c r="F27" s="23">
        <v>-0.12387890498022099</v>
      </c>
      <c r="G27" s="23">
        <v>-1.5374342152973078E-2</v>
      </c>
      <c r="H27" s="1"/>
      <c r="I27" s="1"/>
    </row>
    <row r="28" spans="1:9" x14ac:dyDescent="0.2">
      <c r="A28" s="2">
        <v>0.7</v>
      </c>
      <c r="B28" s="22">
        <v>16</v>
      </c>
      <c r="C28" s="23">
        <v>-0.13880383427619031</v>
      </c>
      <c r="D28" s="23">
        <v>-0.38155055907167629</v>
      </c>
      <c r="E28" s="23">
        <v>-0.20686857849486634</v>
      </c>
      <c r="F28" s="23">
        <v>-0.12387890498022099</v>
      </c>
      <c r="G28" s="23">
        <v>-1.5374342152973078E-2</v>
      </c>
      <c r="H28" s="1"/>
      <c r="I28" s="1"/>
    </row>
    <row r="29" spans="1:9" x14ac:dyDescent="0.2">
      <c r="A29" s="2">
        <v>0.95</v>
      </c>
      <c r="B29" s="22">
        <v>16</v>
      </c>
      <c r="C29" s="23">
        <v>-0.13880383427619031</v>
      </c>
      <c r="D29" s="23">
        <v>-0.38155055907167629</v>
      </c>
      <c r="E29" s="23">
        <v>-0.20686857849486634</v>
      </c>
      <c r="F29" s="23">
        <v>-0.12387890498022099</v>
      </c>
      <c r="G29" s="23">
        <v>-1.5374342152973078E-2</v>
      </c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3" t="s">
        <v>555</v>
      </c>
      <c r="B31" s="3" t="s">
        <v>479</v>
      </c>
      <c r="C31" s="32" t="s">
        <v>473</v>
      </c>
      <c r="D31" s="32" t="s">
        <v>484</v>
      </c>
      <c r="E31" s="32" t="s">
        <v>485</v>
      </c>
      <c r="F31" s="3" t="s">
        <v>486</v>
      </c>
      <c r="G31" s="3"/>
      <c r="H31" s="1"/>
      <c r="I31" s="1"/>
    </row>
    <row r="32" spans="1:9" x14ac:dyDescent="0.2">
      <c r="A32" s="2">
        <v>0.3</v>
      </c>
      <c r="B32" s="22">
        <v>8</v>
      </c>
      <c r="C32" s="33">
        <v>0.61351499145055222</v>
      </c>
      <c r="D32" s="33">
        <v>0.77833380271318675</v>
      </c>
      <c r="E32" s="33">
        <v>0.81339285631936653</v>
      </c>
      <c r="F32" s="33">
        <v>0.81999491194500174</v>
      </c>
      <c r="G32" s="22"/>
      <c r="H32" s="33"/>
      <c r="I32" s="1"/>
    </row>
    <row r="33" spans="1:9" x14ac:dyDescent="0.2">
      <c r="A33" s="2">
        <v>0.4</v>
      </c>
      <c r="B33" s="22">
        <v>16</v>
      </c>
      <c r="C33" s="33">
        <v>0.30109992068322594</v>
      </c>
      <c r="D33" s="33">
        <v>0.28520666141090756</v>
      </c>
      <c r="E33" s="33">
        <v>0.39984278555885761</v>
      </c>
      <c r="F33" s="33">
        <v>0.41540078069998204</v>
      </c>
      <c r="G33" s="22"/>
      <c r="H33" s="33"/>
      <c r="I33" s="1"/>
    </row>
    <row r="34" spans="1:9" x14ac:dyDescent="0.2">
      <c r="A34" s="2">
        <v>0.5</v>
      </c>
      <c r="B34" s="22">
        <v>16</v>
      </c>
      <c r="C34" s="33">
        <v>0.30109992068322594</v>
      </c>
      <c r="D34" s="33">
        <v>0.28520666141090756</v>
      </c>
      <c r="E34" s="33">
        <v>0.39984278555885761</v>
      </c>
      <c r="F34" s="33">
        <v>0.41540078069998204</v>
      </c>
      <c r="G34" s="22"/>
      <c r="H34" s="33"/>
      <c r="I34" s="1"/>
    </row>
    <row r="35" spans="1:9" x14ac:dyDescent="0.2">
      <c r="A35" s="2">
        <v>0.7</v>
      </c>
      <c r="B35" s="22">
        <v>16</v>
      </c>
      <c r="C35" s="33">
        <v>0.30109992068322594</v>
      </c>
      <c r="D35" s="33">
        <v>0.28520666141090756</v>
      </c>
      <c r="E35" s="33">
        <v>0.39984278555885761</v>
      </c>
      <c r="F35" s="33">
        <v>0.41540078069998204</v>
      </c>
      <c r="G35" s="22"/>
      <c r="H35" s="33"/>
      <c r="I35" s="1"/>
    </row>
    <row r="36" spans="1:9" x14ac:dyDescent="0.2">
      <c r="A36" s="2">
        <v>0.95</v>
      </c>
      <c r="B36" s="22">
        <v>16</v>
      </c>
      <c r="C36" s="33">
        <v>0.30109992068322594</v>
      </c>
      <c r="D36" s="33">
        <v>0.28520666141090756</v>
      </c>
      <c r="E36" s="33">
        <v>0.39984278555885761</v>
      </c>
      <c r="F36" s="33">
        <v>0.41540078069998204</v>
      </c>
      <c r="G36" s="22"/>
      <c r="H36" s="33"/>
      <c r="I36" s="1"/>
    </row>
    <row r="37" spans="1:9" x14ac:dyDescent="0.2">
      <c r="C37" s="1"/>
      <c r="D37" s="1"/>
      <c r="E37" s="1"/>
      <c r="F37" s="1"/>
      <c r="G37" s="1"/>
      <c r="H37" s="1"/>
      <c r="I37" s="1"/>
    </row>
    <row r="38" spans="1:9" x14ac:dyDescent="0.2">
      <c r="A38" s="3" t="s">
        <v>556</v>
      </c>
      <c r="B38" s="3" t="s">
        <v>479</v>
      </c>
      <c r="C38" s="3" t="s">
        <v>473</v>
      </c>
      <c r="D38" s="3" t="s">
        <v>484</v>
      </c>
      <c r="E38" s="3" t="s">
        <v>485</v>
      </c>
      <c r="F38" s="3" t="s">
        <v>486</v>
      </c>
      <c r="G38" s="3" t="s">
        <v>512</v>
      </c>
      <c r="H38" s="1"/>
      <c r="I38" s="1"/>
    </row>
    <row r="39" spans="1:9" x14ac:dyDescent="0.2">
      <c r="A39" s="2">
        <v>0.3</v>
      </c>
      <c r="B39" s="22">
        <v>4</v>
      </c>
      <c r="C39" s="23">
        <v>3.4142954092802685E-2</v>
      </c>
      <c r="D39" s="23">
        <v>0.256340068769077</v>
      </c>
      <c r="E39" s="23">
        <v>0.25724524725461212</v>
      </c>
      <c r="F39" s="23">
        <v>0.27774743884138592</v>
      </c>
      <c r="G39" s="23">
        <v>0.28930502557420101</v>
      </c>
      <c r="H39" s="1"/>
      <c r="I39" s="1"/>
    </row>
    <row r="40" spans="1:9" x14ac:dyDescent="0.2">
      <c r="A40" s="2">
        <v>0.4</v>
      </c>
      <c r="B40" s="22">
        <v>5</v>
      </c>
      <c r="C40" s="23">
        <v>-0.35297107054576532</v>
      </c>
      <c r="D40" s="23">
        <v>-1.5449566410115041E-2</v>
      </c>
      <c r="E40" s="23">
        <v>0.19253439379180942</v>
      </c>
      <c r="F40" s="23">
        <v>0.26624114190058201</v>
      </c>
      <c r="G40" s="23">
        <v>0.32202276233724625</v>
      </c>
      <c r="H40" s="1"/>
      <c r="I40" s="1"/>
    </row>
    <row r="41" spans="1:9" x14ac:dyDescent="0.2">
      <c r="A41" s="2">
        <v>0.5</v>
      </c>
      <c r="B41" s="22">
        <v>6</v>
      </c>
      <c r="C41" s="23">
        <v>-0.41374889673396725</v>
      </c>
      <c r="D41" s="23">
        <v>-7.436650873112105E-2</v>
      </c>
      <c r="E41" s="23">
        <v>0.22585188541765766</v>
      </c>
      <c r="F41" s="23">
        <v>0.32721061167745841</v>
      </c>
      <c r="G41" s="23">
        <v>0.40180930961651246</v>
      </c>
      <c r="H41" s="1"/>
      <c r="I41" s="1"/>
    </row>
    <row r="42" spans="1:9" x14ac:dyDescent="0.2">
      <c r="A42" s="2">
        <v>0.7</v>
      </c>
      <c r="B42" s="22">
        <v>9</v>
      </c>
      <c r="C42" s="23">
        <v>-0.36774213856905014</v>
      </c>
      <c r="D42" s="23">
        <v>-0.14197299205300093</v>
      </c>
      <c r="E42" s="23">
        <v>-5.11938257824123E-2</v>
      </c>
      <c r="F42" s="23">
        <v>-5.300073336535773E-3</v>
      </c>
      <c r="G42" s="23">
        <v>2.5887046718195521E-2</v>
      </c>
      <c r="H42" s="1"/>
      <c r="I42" s="1"/>
    </row>
    <row r="43" spans="1:9" x14ac:dyDescent="0.2">
      <c r="A43" s="2">
        <v>0.95</v>
      </c>
      <c r="B43" s="22">
        <v>11</v>
      </c>
      <c r="C43" s="23">
        <v>-0.37853125692256961</v>
      </c>
      <c r="D43" s="23">
        <v>-0.15124898030624934</v>
      </c>
      <c r="E43" s="23">
        <v>4.3235650908241977E-3</v>
      </c>
      <c r="F43" s="23">
        <v>6.2004135970699668E-2</v>
      </c>
      <c r="G43" s="23">
        <v>9.9312524630447888E-2</v>
      </c>
      <c r="H43" s="1"/>
      <c r="I43" s="1"/>
    </row>
    <row r="45" spans="1:9" x14ac:dyDescent="0.2">
      <c r="A45" s="41" t="s">
        <v>557</v>
      </c>
      <c r="B45" s="41"/>
    </row>
  </sheetData>
  <mergeCells count="2">
    <mergeCell ref="A1:B1"/>
    <mergeCell ref="A45:B45"/>
  </mergeCells>
  <conditionalFormatting sqref="C11:C15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:C22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:I2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:D22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:E2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:F22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:H22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:I22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5:G2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:G1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I9 C15:I30 C10:G14 C37:I37 I31:I36 C44:I1048576 H38:I4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:L14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2:H3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2:C3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2:D3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2:E3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2:F36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2:H3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9:C4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9:D4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9:F4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9:E4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9:F4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:I37 C44:I44 C38:F43 H38:I4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9:G4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:I4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ED52-0E19-A64C-A92C-4744286B8A66}">
  <dimension ref="A1:X497"/>
  <sheetViews>
    <sheetView topLeftCell="J1" workbookViewId="0">
      <selection activeCell="Q2" sqref="Q2:U6"/>
    </sheetView>
  </sheetViews>
  <sheetFormatPr baseColWidth="10" defaultRowHeight="16" x14ac:dyDescent="0.2"/>
  <cols>
    <col min="1" max="1" width="6.6640625" style="1" bestFit="1" customWidth="1"/>
    <col min="2" max="2" width="29.6640625" style="1" bestFit="1" customWidth="1"/>
    <col min="3" max="3" width="16.6640625" style="1" bestFit="1" customWidth="1"/>
    <col min="4" max="4" width="24.33203125" bestFit="1" customWidth="1"/>
    <col min="5" max="5" width="20.1640625" style="1" bestFit="1" customWidth="1"/>
    <col min="6" max="8" width="22.1640625" style="1" bestFit="1" customWidth="1"/>
    <col min="9" max="9" width="24.33203125" bestFit="1" customWidth="1"/>
    <col min="10" max="10" width="21.83203125" bestFit="1" customWidth="1"/>
    <col min="11" max="12" width="17.6640625" bestFit="1" customWidth="1"/>
    <col min="13" max="13" width="18.83203125" bestFit="1" customWidth="1"/>
    <col min="14" max="14" width="27" bestFit="1" customWidth="1"/>
    <col min="16" max="16" width="9" bestFit="1" customWidth="1"/>
    <col min="17" max="17" width="21.83203125" bestFit="1" customWidth="1"/>
    <col min="18" max="21" width="21.83203125" customWidth="1"/>
    <col min="23" max="23" width="14.1640625" bestFit="1" customWidth="1"/>
    <col min="24" max="24" width="23.1640625" bestFit="1" customWidth="1"/>
  </cols>
  <sheetData>
    <row r="1" spans="1:24" x14ac:dyDescent="0.2">
      <c r="A1" s="3" t="s">
        <v>14</v>
      </c>
      <c r="B1" s="3" t="s">
        <v>15</v>
      </c>
      <c r="C1" s="3" t="s">
        <v>16</v>
      </c>
      <c r="D1" s="3" t="s">
        <v>441</v>
      </c>
      <c r="E1" s="4" t="s">
        <v>474</v>
      </c>
      <c r="F1" s="4" t="s">
        <v>551</v>
      </c>
      <c r="G1" s="4" t="s">
        <v>552</v>
      </c>
      <c r="H1" s="4" t="s">
        <v>553</v>
      </c>
      <c r="I1" s="4" t="s">
        <v>554</v>
      </c>
      <c r="J1" s="24" t="s">
        <v>473</v>
      </c>
      <c r="K1" s="24" t="s">
        <v>547</v>
      </c>
      <c r="L1" s="24" t="s">
        <v>548</v>
      </c>
      <c r="M1" s="24" t="s">
        <v>549</v>
      </c>
      <c r="N1" s="24" t="s">
        <v>550</v>
      </c>
      <c r="P1" s="3" t="s">
        <v>447</v>
      </c>
      <c r="Q1" s="3" t="str">
        <f>J1</f>
        <v>∆∆G - 0k_Proteins</v>
      </c>
      <c r="R1" s="3" t="str">
        <f t="shared" ref="R1:T1" si="0">K1</f>
        <v>∆∆G - 1k_Protein</v>
      </c>
      <c r="S1" s="3" t="str">
        <f t="shared" si="0"/>
        <v>∆∆G - 5k_Protein</v>
      </c>
      <c r="T1" s="3" t="str">
        <f t="shared" si="0"/>
        <v>∆∆G - 10k_Protein</v>
      </c>
      <c r="U1" s="3" t="str">
        <f>N1</f>
        <v>∆∆G - 10k_Protein_0.95nm</v>
      </c>
      <c r="W1" s="28" t="s">
        <v>478</v>
      </c>
      <c r="X1" s="28"/>
    </row>
    <row r="2" spans="1:24" x14ac:dyDescent="0.2">
      <c r="A2" s="1">
        <v>1</v>
      </c>
      <c r="B2" s="15" t="s">
        <v>17</v>
      </c>
      <c r="C2" s="5">
        <v>0</v>
      </c>
      <c r="D2" s="8">
        <v>0</v>
      </c>
      <c r="E2" s="1">
        <v>-28.338069999999998</v>
      </c>
      <c r="F2" s="1">
        <v>-24.872281000000001</v>
      </c>
      <c r="G2" s="1">
        <v>-21.097313</v>
      </c>
      <c r="H2" s="1">
        <v>-22.663502000000001</v>
      </c>
      <c r="I2">
        <v>-22.757254</v>
      </c>
      <c r="J2">
        <f>E2-E$2</f>
        <v>0</v>
      </c>
      <c r="K2">
        <f>F2-F$2</f>
        <v>0</v>
      </c>
      <c r="L2">
        <f t="shared" ref="L2:N2" si="1">G2-G$2</f>
        <v>0</v>
      </c>
      <c r="M2">
        <f t="shared" si="1"/>
        <v>0</v>
      </c>
      <c r="N2">
        <f t="shared" si="1"/>
        <v>0</v>
      </c>
      <c r="P2" s="9" t="s">
        <v>442</v>
      </c>
      <c r="Q2" s="10">
        <f>PEARSON(J3:J23,$D3:$D23)</f>
        <v>0.49502141672986127</v>
      </c>
      <c r="R2" s="10">
        <f>PEARSON(K3:K23,$D3:$D23)</f>
        <v>0.36101467449111313</v>
      </c>
      <c r="S2" s="10">
        <f>PEARSON(L3:L23,$D3:$D23)</f>
        <v>0.1113218860631673</v>
      </c>
      <c r="T2" s="10">
        <f t="shared" ref="R2:U2" si="2">PEARSON(M3:M23,$D3:$D23)</f>
        <v>0.11639396104061224</v>
      </c>
      <c r="U2" s="10">
        <f t="shared" si="2"/>
        <v>0.10064067514793953</v>
      </c>
      <c r="W2" t="s">
        <v>1</v>
      </c>
      <c r="X2" s="1" t="s">
        <v>2</v>
      </c>
    </row>
    <row r="3" spans="1:24" x14ac:dyDescent="0.2">
      <c r="A3" s="1">
        <v>2</v>
      </c>
      <c r="B3" s="13" t="s">
        <v>18</v>
      </c>
      <c r="C3" s="5">
        <v>1</v>
      </c>
      <c r="D3" s="8">
        <v>6.5794180000000004</v>
      </c>
      <c r="E3" s="1">
        <v>-24.902290000000001</v>
      </c>
      <c r="F3" s="1">
        <v>-22.754584999999999</v>
      </c>
      <c r="G3" s="1">
        <v>-20.454771000000001</v>
      </c>
      <c r="H3" s="1">
        <v>-22.249207999999999</v>
      </c>
      <c r="I3">
        <v>-22.297419000000001</v>
      </c>
      <c r="J3">
        <f t="shared" ref="J3:J66" si="3">E3-E$2</f>
        <v>3.4357799999999976</v>
      </c>
      <c r="K3">
        <f t="shared" ref="K3:K66" si="4">F3-F$2</f>
        <v>2.1176960000000022</v>
      </c>
      <c r="L3">
        <f t="shared" ref="L3:L66" si="5">G3-G$2</f>
        <v>0.64254199999999884</v>
      </c>
      <c r="M3">
        <f t="shared" ref="M3:M66" si="6">H3-H$2</f>
        <v>0.41429400000000172</v>
      </c>
      <c r="N3">
        <f t="shared" ref="N3:N66" si="7">I3-I$2</f>
        <v>0.45983499999999822</v>
      </c>
      <c r="P3" s="9" t="s">
        <v>443</v>
      </c>
      <c r="Q3" s="10">
        <f>PEARSON(J24:J155,$D24:$D155)</f>
        <v>0.48219924108259282</v>
      </c>
      <c r="R3" s="10">
        <f t="shared" ref="R3:U3" si="8">PEARSON(K24:K155,$D24:$D155)</f>
        <v>0.49344585615629261</v>
      </c>
      <c r="S3" s="10">
        <f t="shared" si="8"/>
        <v>0.24785550568406439</v>
      </c>
      <c r="T3" s="10">
        <f t="shared" si="8"/>
        <v>0.20551216635394637</v>
      </c>
      <c r="U3" s="10">
        <f t="shared" si="8"/>
        <v>0.19734733173452101</v>
      </c>
      <c r="W3" t="s">
        <v>3</v>
      </c>
      <c r="X3" s="1" t="s">
        <v>4</v>
      </c>
    </row>
    <row r="4" spans="1:24" x14ac:dyDescent="0.2">
      <c r="A4" s="1">
        <v>3</v>
      </c>
      <c r="B4" s="13" t="s">
        <v>19</v>
      </c>
      <c r="C4" s="5">
        <v>1</v>
      </c>
      <c r="D4" s="8">
        <v>1.6292</v>
      </c>
      <c r="E4" s="1">
        <v>-26.740912999999999</v>
      </c>
      <c r="F4" s="1">
        <v>-23.296906</v>
      </c>
      <c r="G4" s="1">
        <v>-19.218852999999999</v>
      </c>
      <c r="H4" s="1">
        <v>-20.625726</v>
      </c>
      <c r="I4">
        <v>-20.805489999999999</v>
      </c>
      <c r="J4">
        <f t="shared" si="3"/>
        <v>1.5971569999999993</v>
      </c>
      <c r="K4">
        <f t="shared" si="4"/>
        <v>1.5753750000000011</v>
      </c>
      <c r="L4">
        <f t="shared" si="5"/>
        <v>1.8784600000000005</v>
      </c>
      <c r="M4">
        <f t="shared" si="6"/>
        <v>2.0377760000000009</v>
      </c>
      <c r="N4">
        <f t="shared" si="7"/>
        <v>1.9517640000000007</v>
      </c>
      <c r="P4" s="9" t="s">
        <v>444</v>
      </c>
      <c r="Q4" s="10">
        <f>PEARSON(J156:J347,$D156:$D347)</f>
        <v>0.55765805320269446</v>
      </c>
      <c r="R4" s="10">
        <f t="shared" ref="R4:U4" si="9">PEARSON(K156:K347,$D156:$D347)</f>
        <v>0.50494603114290137</v>
      </c>
      <c r="S4" s="10">
        <f t="shared" si="9"/>
        <v>0.18204539331776823</v>
      </c>
      <c r="T4" s="10">
        <f t="shared" si="9"/>
        <v>0.15112989018222803</v>
      </c>
      <c r="U4" s="10">
        <f t="shared" si="9"/>
        <v>0.14569100705764065</v>
      </c>
      <c r="W4" t="s">
        <v>5</v>
      </c>
      <c r="X4" s="1" t="s">
        <v>6</v>
      </c>
    </row>
    <row r="5" spans="1:24" x14ac:dyDescent="0.2">
      <c r="A5" s="1">
        <v>4</v>
      </c>
      <c r="B5" s="13" t="s">
        <v>20</v>
      </c>
      <c r="C5" s="5">
        <v>1</v>
      </c>
      <c r="D5" s="8">
        <v>4.3003330000000002</v>
      </c>
      <c r="E5" s="1">
        <v>-25.738142</v>
      </c>
      <c r="F5" s="1">
        <v>-23.438158999999999</v>
      </c>
      <c r="G5" s="1">
        <v>-20.885424</v>
      </c>
      <c r="H5" s="1">
        <v>-22.570028000000001</v>
      </c>
      <c r="I5">
        <v>-22.676447</v>
      </c>
      <c r="J5">
        <f t="shared" si="3"/>
        <v>2.5999279999999985</v>
      </c>
      <c r="K5">
        <f t="shared" si="4"/>
        <v>1.4341220000000021</v>
      </c>
      <c r="L5">
        <f t="shared" si="5"/>
        <v>0.21188899999999933</v>
      </c>
      <c r="M5">
        <f t="shared" si="6"/>
        <v>9.3474000000000501E-2</v>
      </c>
      <c r="N5">
        <f t="shared" si="7"/>
        <v>8.0807000000000073E-2</v>
      </c>
      <c r="P5" s="9" t="s">
        <v>445</v>
      </c>
      <c r="Q5" s="10">
        <f>PEARSON(J348:J424,$D348:$D424)</f>
        <v>-4.6289499549062342E-2</v>
      </c>
      <c r="R5" s="10">
        <f t="shared" ref="R5:U5" si="10">PEARSON(K348:K424,$D348:$D424)</f>
        <v>-8.5020177445947101E-2</v>
      </c>
      <c r="S5" s="10">
        <f t="shared" si="10"/>
        <v>-0.10914028077242674</v>
      </c>
      <c r="T5" s="10">
        <f t="shared" si="10"/>
        <v>-8.8114859886563188E-2</v>
      </c>
      <c r="U5" s="10">
        <f t="shared" si="10"/>
        <v>-8.4791498788499495E-2</v>
      </c>
      <c r="W5" t="s">
        <v>7</v>
      </c>
      <c r="X5" s="1" t="s">
        <v>8</v>
      </c>
    </row>
    <row r="6" spans="1:24" x14ac:dyDescent="0.2">
      <c r="A6" s="1">
        <v>5</v>
      </c>
      <c r="B6" s="13" t="s">
        <v>21</v>
      </c>
      <c r="C6" s="5">
        <v>1</v>
      </c>
      <c r="D6" s="8">
        <v>1.9306049999999999</v>
      </c>
      <c r="E6" s="1">
        <v>-26.970559999999999</v>
      </c>
      <c r="F6" s="1">
        <v>-23.979751</v>
      </c>
      <c r="G6" s="1">
        <v>-20.150153</v>
      </c>
      <c r="H6" s="1">
        <v>-21.469185</v>
      </c>
      <c r="I6">
        <v>-21.490687999999999</v>
      </c>
      <c r="J6">
        <f t="shared" si="3"/>
        <v>1.3675099999999993</v>
      </c>
      <c r="K6">
        <f t="shared" si="4"/>
        <v>0.89253000000000071</v>
      </c>
      <c r="L6">
        <f t="shared" si="5"/>
        <v>0.94716000000000022</v>
      </c>
      <c r="M6">
        <f t="shared" si="6"/>
        <v>1.1943170000000016</v>
      </c>
      <c r="N6">
        <f t="shared" si="7"/>
        <v>1.266566000000001</v>
      </c>
      <c r="P6" s="9" t="s">
        <v>446</v>
      </c>
      <c r="Q6" s="10">
        <f>PEARSON(J2:J347,$D2:$D347)</f>
        <v>0.51562034170956006</v>
      </c>
      <c r="R6" s="10">
        <f t="shared" ref="R6:U6" si="11">PEARSON(K2:K347,$D2:$D347)</f>
        <v>0.50916798213967929</v>
      </c>
      <c r="S6" s="10">
        <f t="shared" si="11"/>
        <v>0.27188652826743759</v>
      </c>
      <c r="T6" s="10">
        <f t="shared" si="11"/>
        <v>0.23925699729546304</v>
      </c>
      <c r="U6" s="10">
        <f t="shared" si="11"/>
        <v>0.23296001564373334</v>
      </c>
      <c r="W6" t="s">
        <v>9</v>
      </c>
      <c r="X6" s="1" t="s">
        <v>10</v>
      </c>
    </row>
    <row r="7" spans="1:24" x14ac:dyDescent="0.2">
      <c r="A7" s="1">
        <v>6</v>
      </c>
      <c r="B7" s="13" t="s">
        <v>22</v>
      </c>
      <c r="C7" s="5">
        <v>1</v>
      </c>
      <c r="D7" s="8">
        <v>5.1499949999999997</v>
      </c>
      <c r="E7" s="1">
        <v>-24.542922000000001</v>
      </c>
      <c r="F7" s="1">
        <v>-20.986699000000002</v>
      </c>
      <c r="G7" s="1">
        <v>-17.908822000000001</v>
      </c>
      <c r="H7" s="1">
        <v>-19.426141999999999</v>
      </c>
      <c r="I7">
        <v>-19.579042999999999</v>
      </c>
      <c r="J7">
        <f t="shared" si="3"/>
        <v>3.7951479999999975</v>
      </c>
      <c r="K7">
        <f t="shared" si="4"/>
        <v>3.8855819999999994</v>
      </c>
      <c r="L7">
        <f t="shared" si="5"/>
        <v>3.1884909999999991</v>
      </c>
      <c r="M7">
        <f t="shared" si="6"/>
        <v>3.2373600000000025</v>
      </c>
      <c r="N7">
        <f t="shared" si="7"/>
        <v>3.178211000000001</v>
      </c>
      <c r="W7" t="s">
        <v>11</v>
      </c>
      <c r="X7" s="1" t="s">
        <v>12</v>
      </c>
    </row>
    <row r="8" spans="1:24" x14ac:dyDescent="0.2">
      <c r="A8" s="1">
        <v>7</v>
      </c>
      <c r="B8" s="13" t="s">
        <v>23</v>
      </c>
      <c r="C8" s="5">
        <v>1</v>
      </c>
      <c r="D8" s="8">
        <v>5.1211099999999998</v>
      </c>
      <c r="E8" s="1">
        <v>-25.910822</v>
      </c>
      <c r="F8" s="1">
        <v>-23.72025</v>
      </c>
      <c r="G8" s="1">
        <v>-21.787299000000001</v>
      </c>
      <c r="H8" s="1">
        <v>-23.841811</v>
      </c>
      <c r="I8">
        <v>-23.923822000000001</v>
      </c>
      <c r="J8">
        <f t="shared" si="3"/>
        <v>2.4272479999999987</v>
      </c>
      <c r="K8">
        <f t="shared" si="4"/>
        <v>1.1520310000000009</v>
      </c>
      <c r="L8">
        <f t="shared" si="5"/>
        <v>-0.6899860000000011</v>
      </c>
      <c r="M8">
        <f t="shared" si="6"/>
        <v>-1.1783089999999987</v>
      </c>
      <c r="N8">
        <f t="shared" si="7"/>
        <v>-1.1665680000000016</v>
      </c>
      <c r="W8" t="s">
        <v>13</v>
      </c>
      <c r="X8" s="1">
        <v>25</v>
      </c>
    </row>
    <row r="9" spans="1:24" x14ac:dyDescent="0.2">
      <c r="A9" s="1">
        <v>8</v>
      </c>
      <c r="B9" s="13" t="s">
        <v>24</v>
      </c>
      <c r="C9" s="5">
        <v>1</v>
      </c>
      <c r="D9" s="8">
        <v>6.4420489999999999</v>
      </c>
      <c r="E9" s="1">
        <v>-24.268421</v>
      </c>
      <c r="F9" s="1">
        <v>-21.968862000000001</v>
      </c>
      <c r="G9" s="1">
        <v>-17.747764</v>
      </c>
      <c r="H9" s="1">
        <v>-18.590119000000001</v>
      </c>
      <c r="I9">
        <v>-18.738486999999999</v>
      </c>
      <c r="J9">
        <f t="shared" si="3"/>
        <v>4.0696489999999983</v>
      </c>
      <c r="K9">
        <f t="shared" si="4"/>
        <v>2.9034189999999995</v>
      </c>
      <c r="L9">
        <f t="shared" si="5"/>
        <v>3.3495489999999997</v>
      </c>
      <c r="M9">
        <f t="shared" si="6"/>
        <v>4.0733829999999998</v>
      </c>
      <c r="N9">
        <f t="shared" si="7"/>
        <v>4.0187670000000004</v>
      </c>
    </row>
    <row r="10" spans="1:24" x14ac:dyDescent="0.2">
      <c r="A10" s="1">
        <v>9</v>
      </c>
      <c r="B10" s="13" t="s">
        <v>25</v>
      </c>
      <c r="C10" s="5">
        <v>1</v>
      </c>
      <c r="D10" s="8">
        <v>1.287982</v>
      </c>
      <c r="E10" s="1">
        <v>-25.020954</v>
      </c>
      <c r="F10" s="1">
        <v>-22.074217000000001</v>
      </c>
      <c r="G10" s="1">
        <v>-17.988212000000001</v>
      </c>
      <c r="H10" s="1">
        <v>-19.573001999999999</v>
      </c>
      <c r="I10">
        <v>-19.471295000000001</v>
      </c>
      <c r="J10">
        <f t="shared" si="3"/>
        <v>3.3171159999999986</v>
      </c>
      <c r="K10">
        <f t="shared" si="4"/>
        <v>2.7980640000000001</v>
      </c>
      <c r="L10">
        <f t="shared" si="5"/>
        <v>3.109100999999999</v>
      </c>
      <c r="M10">
        <f t="shared" si="6"/>
        <v>3.0905000000000022</v>
      </c>
      <c r="N10">
        <f t="shared" si="7"/>
        <v>3.2859589999999983</v>
      </c>
    </row>
    <row r="11" spans="1:24" x14ac:dyDescent="0.2">
      <c r="A11" s="1">
        <v>10</v>
      </c>
      <c r="B11" s="13" t="s">
        <v>26</v>
      </c>
      <c r="C11" s="5">
        <v>1</v>
      </c>
      <c r="D11" s="8">
        <v>4.132943</v>
      </c>
      <c r="E11" s="1">
        <v>-24.42071</v>
      </c>
      <c r="F11" s="1">
        <v>-21.962095999999999</v>
      </c>
      <c r="G11" s="1">
        <v>-20.717866000000001</v>
      </c>
      <c r="H11" s="1">
        <v>-23.044125999999999</v>
      </c>
      <c r="I11">
        <v>-23.108862999999999</v>
      </c>
      <c r="J11">
        <f t="shared" si="3"/>
        <v>3.9173599999999986</v>
      </c>
      <c r="K11">
        <f t="shared" si="4"/>
        <v>2.910185000000002</v>
      </c>
      <c r="L11">
        <f t="shared" si="5"/>
        <v>0.37944699999999898</v>
      </c>
      <c r="M11">
        <f t="shared" si="6"/>
        <v>-0.38062399999999741</v>
      </c>
      <c r="N11">
        <f t="shared" si="7"/>
        <v>-0.35160899999999984</v>
      </c>
    </row>
    <row r="12" spans="1:24" x14ac:dyDescent="0.2">
      <c r="A12" s="1">
        <v>11</v>
      </c>
      <c r="B12" s="13" t="s">
        <v>27</v>
      </c>
      <c r="C12" s="5">
        <v>1</v>
      </c>
      <c r="D12" s="8">
        <v>5.0902180000000001</v>
      </c>
      <c r="E12" s="1">
        <v>-24.403559000000001</v>
      </c>
      <c r="F12" s="1">
        <v>-20.850505999999999</v>
      </c>
      <c r="G12" s="1">
        <v>-17.602938999999999</v>
      </c>
      <c r="H12" s="1">
        <v>-19.668066</v>
      </c>
      <c r="I12">
        <v>-19.787077</v>
      </c>
      <c r="J12">
        <f t="shared" si="3"/>
        <v>3.934510999999997</v>
      </c>
      <c r="K12">
        <f t="shared" si="4"/>
        <v>4.0217750000000017</v>
      </c>
      <c r="L12">
        <f t="shared" si="5"/>
        <v>3.4943740000000005</v>
      </c>
      <c r="M12">
        <f t="shared" si="6"/>
        <v>2.9954360000000015</v>
      </c>
      <c r="N12">
        <f t="shared" si="7"/>
        <v>2.9701769999999996</v>
      </c>
    </row>
    <row r="13" spans="1:24" x14ac:dyDescent="0.2">
      <c r="A13" s="1">
        <v>12</v>
      </c>
      <c r="B13" s="13" t="s">
        <v>28</v>
      </c>
      <c r="C13" s="5">
        <v>1</v>
      </c>
      <c r="D13" s="8">
        <v>5.9945389999999996</v>
      </c>
      <c r="E13" s="1">
        <v>-23.959935999999999</v>
      </c>
      <c r="F13" s="1">
        <v>-20.146547999999999</v>
      </c>
      <c r="G13" s="1">
        <v>-15.328657</v>
      </c>
      <c r="H13" s="1">
        <v>-15.892436999999999</v>
      </c>
      <c r="I13">
        <v>-16.002074</v>
      </c>
      <c r="J13">
        <f t="shared" si="3"/>
        <v>4.3781339999999993</v>
      </c>
      <c r="K13">
        <f t="shared" si="4"/>
        <v>4.7257330000000017</v>
      </c>
      <c r="L13">
        <f t="shared" si="5"/>
        <v>5.768656</v>
      </c>
      <c r="M13">
        <f t="shared" si="6"/>
        <v>6.7710650000000019</v>
      </c>
      <c r="N13">
        <f t="shared" si="7"/>
        <v>6.7551799999999993</v>
      </c>
    </row>
    <row r="14" spans="1:24" x14ac:dyDescent="0.2">
      <c r="A14" s="1">
        <v>13</v>
      </c>
      <c r="B14" s="13" t="s">
        <v>29</v>
      </c>
      <c r="C14" s="5">
        <v>1</v>
      </c>
      <c r="D14" s="8">
        <v>0.78880099999999997</v>
      </c>
      <c r="E14" s="1">
        <v>-24.640567999999998</v>
      </c>
      <c r="F14" s="1">
        <v>-21.466650999999999</v>
      </c>
      <c r="G14" s="1">
        <v>-17.929361</v>
      </c>
      <c r="H14" s="1">
        <v>-19.904709</v>
      </c>
      <c r="I14">
        <v>-19.915617000000001</v>
      </c>
      <c r="J14">
        <f t="shared" si="3"/>
        <v>3.6975020000000001</v>
      </c>
      <c r="K14">
        <f t="shared" si="4"/>
        <v>3.4056300000000022</v>
      </c>
      <c r="L14">
        <f t="shared" si="5"/>
        <v>3.1679519999999997</v>
      </c>
      <c r="M14">
        <f t="shared" si="6"/>
        <v>2.7587930000000007</v>
      </c>
      <c r="N14">
        <f t="shared" si="7"/>
        <v>2.8416369999999986</v>
      </c>
    </row>
    <row r="15" spans="1:24" x14ac:dyDescent="0.2">
      <c r="A15" s="1">
        <v>14</v>
      </c>
      <c r="B15" s="13" t="s">
        <v>30</v>
      </c>
      <c r="C15" s="5">
        <v>1</v>
      </c>
      <c r="D15" s="8">
        <v>1.3321799999999999</v>
      </c>
      <c r="E15" s="1">
        <v>-25.893833000000001</v>
      </c>
      <c r="F15" s="1">
        <v>-22.987622999999999</v>
      </c>
      <c r="G15" s="1">
        <v>-18.881259</v>
      </c>
      <c r="H15" s="1">
        <v>-20.274978999999998</v>
      </c>
      <c r="I15">
        <v>-20.405598000000001</v>
      </c>
      <c r="J15">
        <f t="shared" si="3"/>
        <v>2.4442369999999976</v>
      </c>
      <c r="K15">
        <f t="shared" si="4"/>
        <v>1.8846580000000017</v>
      </c>
      <c r="L15">
        <f t="shared" si="5"/>
        <v>2.2160539999999997</v>
      </c>
      <c r="M15">
        <f t="shared" si="6"/>
        <v>2.3885230000000028</v>
      </c>
      <c r="N15">
        <f t="shared" si="7"/>
        <v>2.3516559999999984</v>
      </c>
    </row>
    <row r="16" spans="1:24" x14ac:dyDescent="0.2">
      <c r="A16" s="1">
        <v>15</v>
      </c>
      <c r="B16" s="13" t="s">
        <v>31</v>
      </c>
      <c r="C16" s="5">
        <v>1</v>
      </c>
      <c r="D16" s="8">
        <v>5.3390649999999997</v>
      </c>
      <c r="E16" s="1">
        <v>-23.973524999999999</v>
      </c>
      <c r="F16" s="1">
        <v>-20.515142999999998</v>
      </c>
      <c r="G16" s="1">
        <v>-17.021982999999999</v>
      </c>
      <c r="H16" s="1">
        <v>-18.410319000000001</v>
      </c>
      <c r="I16">
        <v>-18.413155</v>
      </c>
      <c r="J16">
        <f t="shared" si="3"/>
        <v>4.3645449999999997</v>
      </c>
      <c r="K16">
        <f t="shared" si="4"/>
        <v>4.3571380000000026</v>
      </c>
      <c r="L16">
        <f t="shared" si="5"/>
        <v>4.075330000000001</v>
      </c>
      <c r="M16">
        <f t="shared" si="6"/>
        <v>4.2531829999999999</v>
      </c>
      <c r="N16">
        <f t="shared" si="7"/>
        <v>4.3440989999999999</v>
      </c>
    </row>
    <row r="17" spans="1:14" x14ac:dyDescent="0.2">
      <c r="A17" s="1">
        <v>16</v>
      </c>
      <c r="B17" s="13" t="s">
        <v>32</v>
      </c>
      <c r="C17" s="5">
        <v>1</v>
      </c>
      <c r="D17" s="8">
        <v>1.188755</v>
      </c>
      <c r="E17" s="1">
        <v>-25.048507000000001</v>
      </c>
      <c r="F17" s="1">
        <v>-21.484107000000002</v>
      </c>
      <c r="G17" s="1">
        <v>-17.396802999999998</v>
      </c>
      <c r="H17" s="1">
        <v>-18.84693</v>
      </c>
      <c r="I17">
        <v>-18.733546</v>
      </c>
      <c r="J17">
        <f t="shared" si="3"/>
        <v>3.2895629999999976</v>
      </c>
      <c r="K17">
        <f t="shared" si="4"/>
        <v>3.3881739999999994</v>
      </c>
      <c r="L17">
        <f t="shared" si="5"/>
        <v>3.7005100000000013</v>
      </c>
      <c r="M17">
        <f t="shared" si="6"/>
        <v>3.8165720000000007</v>
      </c>
      <c r="N17">
        <f t="shared" si="7"/>
        <v>4.0237079999999992</v>
      </c>
    </row>
    <row r="18" spans="1:14" x14ac:dyDescent="0.2">
      <c r="A18" s="1">
        <v>17</v>
      </c>
      <c r="B18" s="13" t="s">
        <v>33</v>
      </c>
      <c r="C18" s="5">
        <v>1</v>
      </c>
      <c r="D18" s="8">
        <v>2.0775389999999998</v>
      </c>
      <c r="E18" s="1">
        <v>-24.852242</v>
      </c>
      <c r="F18" s="1">
        <v>-22.893584000000001</v>
      </c>
      <c r="G18" s="1">
        <v>-19.794377999999998</v>
      </c>
      <c r="H18" s="1">
        <v>-21.405560000000001</v>
      </c>
      <c r="I18">
        <v>-21.501106</v>
      </c>
      <c r="J18">
        <f t="shared" si="3"/>
        <v>3.4858279999999979</v>
      </c>
      <c r="K18">
        <f t="shared" si="4"/>
        <v>1.9786970000000004</v>
      </c>
      <c r="L18">
        <f t="shared" si="5"/>
        <v>1.3029350000000015</v>
      </c>
      <c r="M18">
        <f t="shared" si="6"/>
        <v>1.2579419999999999</v>
      </c>
      <c r="N18">
        <f t="shared" si="7"/>
        <v>1.2561479999999996</v>
      </c>
    </row>
    <row r="19" spans="1:14" x14ac:dyDescent="0.2">
      <c r="A19" s="1">
        <v>18</v>
      </c>
      <c r="B19" s="13" t="s">
        <v>34</v>
      </c>
      <c r="C19" s="5">
        <v>1</v>
      </c>
      <c r="D19" s="8">
        <v>3.8441559999999999</v>
      </c>
      <c r="E19" s="1">
        <v>-23.998532000000001</v>
      </c>
      <c r="F19" s="1">
        <v>-20.104157000000001</v>
      </c>
      <c r="G19" s="1">
        <v>-16.288499000000002</v>
      </c>
      <c r="H19" s="1">
        <v>-17.65897</v>
      </c>
      <c r="I19">
        <v>-17.646547999999999</v>
      </c>
      <c r="J19">
        <f t="shared" si="3"/>
        <v>4.3395379999999975</v>
      </c>
      <c r="K19">
        <f t="shared" si="4"/>
        <v>4.7681240000000003</v>
      </c>
      <c r="L19">
        <f t="shared" si="5"/>
        <v>4.8088139999999981</v>
      </c>
      <c r="M19">
        <f t="shared" si="6"/>
        <v>5.0045320000000011</v>
      </c>
      <c r="N19">
        <f t="shared" si="7"/>
        <v>5.1107060000000004</v>
      </c>
    </row>
    <row r="20" spans="1:14" x14ac:dyDescent="0.2">
      <c r="A20" s="1">
        <v>19</v>
      </c>
      <c r="B20" s="13" t="s">
        <v>35</v>
      </c>
      <c r="C20" s="5">
        <v>1</v>
      </c>
      <c r="D20" s="8">
        <v>2.669333</v>
      </c>
      <c r="E20" s="1">
        <v>-24.805665999999999</v>
      </c>
      <c r="F20" s="1">
        <v>-22.27402</v>
      </c>
      <c r="G20" s="1">
        <v>-19.507038000000001</v>
      </c>
      <c r="H20" s="1">
        <v>-21.224778000000001</v>
      </c>
      <c r="I20">
        <v>-21.353840999999999</v>
      </c>
      <c r="J20">
        <f t="shared" si="3"/>
        <v>3.5324039999999997</v>
      </c>
      <c r="K20">
        <f t="shared" si="4"/>
        <v>2.5982610000000008</v>
      </c>
      <c r="L20">
        <f t="shared" si="5"/>
        <v>1.5902749999999983</v>
      </c>
      <c r="M20">
        <f t="shared" si="6"/>
        <v>1.4387240000000006</v>
      </c>
      <c r="N20">
        <f t="shared" si="7"/>
        <v>1.4034130000000005</v>
      </c>
    </row>
    <row r="21" spans="1:14" x14ac:dyDescent="0.2">
      <c r="A21" s="1">
        <v>20</v>
      </c>
      <c r="B21" s="13" t="s">
        <v>36</v>
      </c>
      <c r="C21" s="5">
        <v>1</v>
      </c>
      <c r="D21" s="8">
        <v>1.295755</v>
      </c>
      <c r="E21" s="1">
        <v>-25.308112999999999</v>
      </c>
      <c r="F21" s="1">
        <v>-22.604970000000002</v>
      </c>
      <c r="G21" s="1">
        <v>-18.690715000000001</v>
      </c>
      <c r="H21" s="1">
        <v>-19.990894000000001</v>
      </c>
      <c r="I21">
        <v>-20.049036000000001</v>
      </c>
      <c r="J21">
        <f t="shared" si="3"/>
        <v>3.0299569999999996</v>
      </c>
      <c r="K21">
        <f t="shared" si="4"/>
        <v>2.2673109999999994</v>
      </c>
      <c r="L21">
        <f t="shared" si="5"/>
        <v>2.4065979999999989</v>
      </c>
      <c r="M21">
        <f t="shared" si="6"/>
        <v>2.6726080000000003</v>
      </c>
      <c r="N21">
        <f t="shared" si="7"/>
        <v>2.7082179999999987</v>
      </c>
    </row>
    <row r="22" spans="1:14" x14ac:dyDescent="0.2">
      <c r="A22" s="1">
        <v>21</v>
      </c>
      <c r="B22" s="13" t="s">
        <v>37</v>
      </c>
      <c r="C22" s="5">
        <v>1</v>
      </c>
      <c r="D22" s="8">
        <v>1.308171</v>
      </c>
      <c r="E22" s="1">
        <v>-26.139042</v>
      </c>
      <c r="F22" s="1">
        <v>-23.827632000000001</v>
      </c>
      <c r="G22" s="1">
        <v>-20.252700999999998</v>
      </c>
      <c r="H22" s="1">
        <v>-21.707747999999999</v>
      </c>
      <c r="I22">
        <v>-21.717628000000001</v>
      </c>
      <c r="J22">
        <f t="shared" si="3"/>
        <v>2.1990279999999984</v>
      </c>
      <c r="K22">
        <f t="shared" si="4"/>
        <v>1.0446489999999997</v>
      </c>
      <c r="L22">
        <f t="shared" si="5"/>
        <v>0.84461200000000147</v>
      </c>
      <c r="M22">
        <f t="shared" si="6"/>
        <v>0.95575400000000243</v>
      </c>
      <c r="N22">
        <f t="shared" si="7"/>
        <v>1.0396259999999984</v>
      </c>
    </row>
    <row r="23" spans="1:14" x14ac:dyDescent="0.2">
      <c r="A23" s="1">
        <v>22</v>
      </c>
      <c r="B23" s="13" t="s">
        <v>38</v>
      </c>
      <c r="C23" s="5">
        <v>1</v>
      </c>
      <c r="D23" s="8">
        <v>3.2823959999999999</v>
      </c>
      <c r="E23" s="1">
        <v>-24.227817999999999</v>
      </c>
      <c r="F23" s="1">
        <v>-21.693321999999998</v>
      </c>
      <c r="G23" s="1">
        <v>-19.369734999999999</v>
      </c>
      <c r="H23" s="1">
        <v>-21.028600999999998</v>
      </c>
      <c r="I23">
        <v>-21.119620000000001</v>
      </c>
      <c r="J23">
        <f t="shared" si="3"/>
        <v>4.1102519999999991</v>
      </c>
      <c r="K23">
        <f t="shared" si="4"/>
        <v>3.1789590000000025</v>
      </c>
      <c r="L23">
        <f t="shared" si="5"/>
        <v>1.7275780000000012</v>
      </c>
      <c r="M23">
        <f t="shared" si="6"/>
        <v>1.6349010000000028</v>
      </c>
      <c r="N23">
        <f t="shared" si="7"/>
        <v>1.6376339999999985</v>
      </c>
    </row>
    <row r="24" spans="1:14" x14ac:dyDescent="0.2">
      <c r="A24" s="1">
        <v>23</v>
      </c>
      <c r="B24" s="14" t="s">
        <v>39</v>
      </c>
      <c r="C24" s="5">
        <v>2</v>
      </c>
      <c r="D24" s="8">
        <v>6.1011420000000003</v>
      </c>
      <c r="E24" s="1">
        <v>-22.21332</v>
      </c>
      <c r="F24" s="1">
        <v>-20.314620000000001</v>
      </c>
      <c r="G24" s="1">
        <v>-18.619347999999999</v>
      </c>
      <c r="H24" s="1">
        <v>-21.083019</v>
      </c>
      <c r="I24">
        <v>-21.082184999999999</v>
      </c>
      <c r="J24">
        <f t="shared" si="3"/>
        <v>6.1247499999999988</v>
      </c>
      <c r="K24">
        <f t="shared" si="4"/>
        <v>4.5576609999999995</v>
      </c>
      <c r="L24">
        <f t="shared" si="5"/>
        <v>2.4779650000000011</v>
      </c>
      <c r="M24">
        <f t="shared" si="6"/>
        <v>1.580483000000001</v>
      </c>
      <c r="N24">
        <f t="shared" si="7"/>
        <v>1.6750690000000006</v>
      </c>
    </row>
    <row r="25" spans="1:14" x14ac:dyDescent="0.2">
      <c r="A25" s="1">
        <v>24</v>
      </c>
      <c r="B25" s="14" t="s">
        <v>40</v>
      </c>
      <c r="C25" s="5">
        <v>2</v>
      </c>
      <c r="D25" s="8">
        <v>1.86869</v>
      </c>
      <c r="E25" s="1">
        <v>-26.740912999999999</v>
      </c>
      <c r="F25" s="1">
        <v>-23.296906</v>
      </c>
      <c r="G25" s="1">
        <v>-19.218852999999999</v>
      </c>
      <c r="H25" s="1">
        <v>-20.625726</v>
      </c>
      <c r="I25">
        <v>-20.805489999999999</v>
      </c>
      <c r="J25">
        <f t="shared" si="3"/>
        <v>1.5971569999999993</v>
      </c>
      <c r="K25">
        <f t="shared" si="4"/>
        <v>1.5753750000000011</v>
      </c>
      <c r="L25">
        <f t="shared" si="5"/>
        <v>1.8784600000000005</v>
      </c>
      <c r="M25">
        <f t="shared" si="6"/>
        <v>2.0377760000000009</v>
      </c>
      <c r="N25">
        <f t="shared" si="7"/>
        <v>1.9517640000000007</v>
      </c>
    </row>
    <row r="26" spans="1:14" x14ac:dyDescent="0.2">
      <c r="A26" s="1">
        <v>25</v>
      </c>
      <c r="B26" s="14" t="s">
        <v>41</v>
      </c>
      <c r="C26" s="5">
        <v>2</v>
      </c>
      <c r="D26" s="8">
        <v>4.7469799999999998</v>
      </c>
      <c r="E26" s="1">
        <v>-20.723208</v>
      </c>
      <c r="F26" s="1">
        <v>-18.556466</v>
      </c>
      <c r="G26" s="1">
        <v>-17.549914999999999</v>
      </c>
      <c r="H26" s="1">
        <v>-20.285333000000001</v>
      </c>
      <c r="I26">
        <v>-20.267226000000001</v>
      </c>
      <c r="J26">
        <f t="shared" si="3"/>
        <v>7.6148619999999987</v>
      </c>
      <c r="K26">
        <f t="shared" si="4"/>
        <v>6.3158150000000006</v>
      </c>
      <c r="L26">
        <f t="shared" si="5"/>
        <v>3.5473980000000012</v>
      </c>
      <c r="M26">
        <f t="shared" si="6"/>
        <v>2.3781689999999998</v>
      </c>
      <c r="N26">
        <f t="shared" si="7"/>
        <v>2.4900279999999988</v>
      </c>
    </row>
    <row r="27" spans="1:14" x14ac:dyDescent="0.2">
      <c r="A27" s="1">
        <v>26</v>
      </c>
      <c r="B27" s="14" t="s">
        <v>42</v>
      </c>
      <c r="C27" s="5">
        <v>2</v>
      </c>
      <c r="D27" s="8">
        <v>6.2689890000000004</v>
      </c>
      <c r="E27" s="1">
        <v>-22.806401999999999</v>
      </c>
      <c r="F27" s="1">
        <v>-19.275130999999998</v>
      </c>
      <c r="G27" s="1">
        <v>-15.724479000000001</v>
      </c>
      <c r="H27" s="1">
        <v>-17.630291</v>
      </c>
      <c r="I27">
        <v>-17.835312999999999</v>
      </c>
      <c r="J27">
        <f t="shared" si="3"/>
        <v>5.5316679999999998</v>
      </c>
      <c r="K27">
        <f t="shared" si="4"/>
        <v>5.5971500000000027</v>
      </c>
      <c r="L27">
        <f t="shared" si="5"/>
        <v>5.3728339999999992</v>
      </c>
      <c r="M27">
        <f t="shared" si="6"/>
        <v>5.0332110000000014</v>
      </c>
      <c r="N27">
        <f t="shared" si="7"/>
        <v>4.9219410000000003</v>
      </c>
    </row>
    <row r="28" spans="1:14" x14ac:dyDescent="0.2">
      <c r="A28" s="1">
        <v>27</v>
      </c>
      <c r="B28" s="14" t="s">
        <v>43</v>
      </c>
      <c r="C28" s="5">
        <v>2</v>
      </c>
      <c r="D28" s="8">
        <v>2.3015159999999999</v>
      </c>
      <c r="E28" s="1">
        <v>-23.043412</v>
      </c>
      <c r="F28" s="1">
        <v>-19.891276000000001</v>
      </c>
      <c r="G28" s="1">
        <v>-16.050901</v>
      </c>
      <c r="H28" s="1">
        <v>-17.866934000000001</v>
      </c>
      <c r="I28">
        <v>-17.963853</v>
      </c>
      <c r="J28">
        <f t="shared" si="3"/>
        <v>5.2946579999999983</v>
      </c>
      <c r="K28">
        <f t="shared" si="4"/>
        <v>4.9810049999999997</v>
      </c>
      <c r="L28">
        <f t="shared" si="5"/>
        <v>5.0464120000000001</v>
      </c>
      <c r="M28">
        <f t="shared" si="6"/>
        <v>4.7965680000000006</v>
      </c>
      <c r="N28">
        <f t="shared" si="7"/>
        <v>4.7934009999999994</v>
      </c>
    </row>
    <row r="29" spans="1:14" x14ac:dyDescent="0.2">
      <c r="A29" s="1">
        <v>28</v>
      </c>
      <c r="B29" s="14" t="s">
        <v>44</v>
      </c>
      <c r="C29" s="5">
        <v>2</v>
      </c>
      <c r="D29" s="8">
        <v>2.368128</v>
      </c>
      <c r="E29" s="1">
        <v>-23.273057999999999</v>
      </c>
      <c r="F29" s="1">
        <v>-20.574120000000001</v>
      </c>
      <c r="G29" s="1">
        <v>-16.982202000000001</v>
      </c>
      <c r="H29" s="1">
        <v>-18.710393</v>
      </c>
      <c r="I29">
        <v>-18.649051</v>
      </c>
      <c r="J29">
        <f t="shared" si="3"/>
        <v>5.0650119999999994</v>
      </c>
      <c r="K29">
        <f t="shared" si="4"/>
        <v>4.2981610000000003</v>
      </c>
      <c r="L29">
        <f t="shared" si="5"/>
        <v>4.1151109999999989</v>
      </c>
      <c r="M29">
        <f t="shared" si="6"/>
        <v>3.9531090000000013</v>
      </c>
      <c r="N29">
        <f t="shared" si="7"/>
        <v>4.1082029999999996</v>
      </c>
    </row>
    <row r="30" spans="1:14" x14ac:dyDescent="0.2">
      <c r="A30" s="1">
        <v>29</v>
      </c>
      <c r="B30" s="14" t="s">
        <v>45</v>
      </c>
      <c r="C30" s="5">
        <v>2</v>
      </c>
      <c r="D30" s="8">
        <v>6.0008980000000003</v>
      </c>
      <c r="E30" s="1">
        <v>-23.036048999999998</v>
      </c>
      <c r="F30" s="1">
        <v>-19.957975999999999</v>
      </c>
      <c r="G30" s="1">
        <v>-16.65578</v>
      </c>
      <c r="H30" s="1">
        <v>-18.473749999999999</v>
      </c>
      <c r="I30">
        <v>-18.520512</v>
      </c>
      <c r="J30">
        <f t="shared" si="3"/>
        <v>5.3020209999999999</v>
      </c>
      <c r="K30">
        <f t="shared" si="4"/>
        <v>4.9143050000000024</v>
      </c>
      <c r="L30">
        <f t="shared" si="5"/>
        <v>4.4415329999999997</v>
      </c>
      <c r="M30">
        <f t="shared" si="6"/>
        <v>4.1897520000000021</v>
      </c>
      <c r="N30">
        <f t="shared" si="7"/>
        <v>4.2367419999999996</v>
      </c>
    </row>
    <row r="31" spans="1:14" x14ac:dyDescent="0.2">
      <c r="A31" s="1">
        <v>30</v>
      </c>
      <c r="B31" s="14" t="s">
        <v>46</v>
      </c>
      <c r="C31" s="5">
        <v>2</v>
      </c>
      <c r="D31" s="8">
        <v>6.0242370000000003</v>
      </c>
      <c r="E31" s="1">
        <v>-21.103594000000001</v>
      </c>
      <c r="F31" s="1">
        <v>-19.164031999999999</v>
      </c>
      <c r="G31" s="1">
        <v>-17.608764999999998</v>
      </c>
      <c r="H31" s="1">
        <v>-19.953626</v>
      </c>
      <c r="I31">
        <v>-19.822904999999999</v>
      </c>
      <c r="J31">
        <f t="shared" si="3"/>
        <v>7.2344759999999972</v>
      </c>
      <c r="K31">
        <f t="shared" si="4"/>
        <v>5.7082490000000021</v>
      </c>
      <c r="L31">
        <f t="shared" si="5"/>
        <v>3.4885480000000015</v>
      </c>
      <c r="M31">
        <f t="shared" si="6"/>
        <v>2.7098760000000013</v>
      </c>
      <c r="N31">
        <f t="shared" si="7"/>
        <v>2.934349000000001</v>
      </c>
    </row>
    <row r="32" spans="1:14" x14ac:dyDescent="0.2">
      <c r="A32" s="1">
        <v>31</v>
      </c>
      <c r="B32" s="14" t="s">
        <v>47</v>
      </c>
      <c r="C32" s="5">
        <v>2</v>
      </c>
      <c r="D32" s="8">
        <v>5.6660579999999996</v>
      </c>
      <c r="E32" s="1">
        <v>-22.630661</v>
      </c>
      <c r="F32" s="1">
        <v>-20.117947000000001</v>
      </c>
      <c r="G32" s="1">
        <v>-17.491275000000002</v>
      </c>
      <c r="H32" s="1">
        <v>-18.990825000000001</v>
      </c>
      <c r="I32">
        <v>-19.167856</v>
      </c>
      <c r="J32">
        <f t="shared" si="3"/>
        <v>5.7074089999999984</v>
      </c>
      <c r="K32">
        <f t="shared" si="4"/>
        <v>4.7543340000000001</v>
      </c>
      <c r="L32">
        <f t="shared" si="5"/>
        <v>3.6060379999999981</v>
      </c>
      <c r="M32">
        <f t="shared" si="6"/>
        <v>3.6726770000000002</v>
      </c>
      <c r="N32">
        <f t="shared" si="7"/>
        <v>3.5893979999999992</v>
      </c>
    </row>
    <row r="33" spans="1:14" x14ac:dyDescent="0.2">
      <c r="A33" s="1">
        <v>32</v>
      </c>
      <c r="B33" s="14" t="s">
        <v>48</v>
      </c>
      <c r="C33" s="5">
        <v>2</v>
      </c>
      <c r="D33" s="8">
        <v>3.7545459999999999</v>
      </c>
      <c r="E33" s="1">
        <v>-20.530315999999999</v>
      </c>
      <c r="F33" s="1">
        <v>-18.287692</v>
      </c>
      <c r="G33" s="1">
        <v>-16.201782999999999</v>
      </c>
      <c r="H33" s="1">
        <v>-18.269808000000001</v>
      </c>
      <c r="I33">
        <v>-18.277982999999999</v>
      </c>
      <c r="J33">
        <f t="shared" si="3"/>
        <v>7.8077539999999992</v>
      </c>
      <c r="K33">
        <f t="shared" si="4"/>
        <v>6.5845890000000011</v>
      </c>
      <c r="L33">
        <f t="shared" si="5"/>
        <v>4.8955300000000008</v>
      </c>
      <c r="M33">
        <f t="shared" si="6"/>
        <v>4.393694</v>
      </c>
      <c r="N33">
        <f t="shared" si="7"/>
        <v>4.4792710000000007</v>
      </c>
    </row>
    <row r="34" spans="1:14" x14ac:dyDescent="0.2">
      <c r="A34" s="1">
        <v>33</v>
      </c>
      <c r="B34" s="14" t="s">
        <v>49</v>
      </c>
      <c r="C34" s="5">
        <v>2</v>
      </c>
      <c r="D34" s="8">
        <v>6.2227750000000004</v>
      </c>
      <c r="E34" s="1">
        <v>-22.221682000000001</v>
      </c>
      <c r="F34" s="1">
        <v>-20.917446999999999</v>
      </c>
      <c r="G34" s="1">
        <v>-19.873253999999999</v>
      </c>
      <c r="H34" s="1">
        <v>-22.088372</v>
      </c>
      <c r="I34">
        <v>-22.069237000000001</v>
      </c>
      <c r="J34">
        <f t="shared" si="3"/>
        <v>6.116387999999997</v>
      </c>
      <c r="K34">
        <f t="shared" si="4"/>
        <v>3.9548340000000017</v>
      </c>
      <c r="L34">
        <f t="shared" si="5"/>
        <v>1.2240590000000005</v>
      </c>
      <c r="M34">
        <f t="shared" si="6"/>
        <v>0.57513000000000147</v>
      </c>
      <c r="N34">
        <f t="shared" si="7"/>
        <v>0.68801699999999855</v>
      </c>
    </row>
    <row r="35" spans="1:14" x14ac:dyDescent="0.2">
      <c r="A35" s="1">
        <v>34</v>
      </c>
      <c r="B35" s="14" t="s">
        <v>50</v>
      </c>
      <c r="C35" s="5">
        <v>2</v>
      </c>
      <c r="D35" s="8">
        <v>1.8274570000000001</v>
      </c>
      <c r="E35" s="1">
        <v>-26.740912999999999</v>
      </c>
      <c r="F35" s="1">
        <v>-23.296906</v>
      </c>
      <c r="G35" s="1">
        <v>-19.218852999999999</v>
      </c>
      <c r="H35" s="1">
        <v>-20.625726</v>
      </c>
      <c r="I35">
        <v>-20.805489999999999</v>
      </c>
      <c r="J35">
        <f t="shared" si="3"/>
        <v>1.5971569999999993</v>
      </c>
      <c r="K35">
        <f t="shared" si="4"/>
        <v>1.5753750000000011</v>
      </c>
      <c r="L35">
        <f t="shared" si="5"/>
        <v>1.8784600000000005</v>
      </c>
      <c r="M35">
        <f t="shared" si="6"/>
        <v>2.0377760000000009</v>
      </c>
      <c r="N35">
        <f t="shared" si="7"/>
        <v>1.9517640000000007</v>
      </c>
    </row>
    <row r="36" spans="1:14" x14ac:dyDescent="0.2">
      <c r="A36" s="1">
        <v>35</v>
      </c>
      <c r="B36" s="14" t="s">
        <v>51</v>
      </c>
      <c r="C36" s="5">
        <v>2</v>
      </c>
      <c r="D36" s="8">
        <v>4.9601680000000004</v>
      </c>
      <c r="E36" s="1">
        <v>-22.04064</v>
      </c>
      <c r="F36" s="1">
        <v>-20.032527999999999</v>
      </c>
      <c r="G36" s="1">
        <v>-17.717472999999998</v>
      </c>
      <c r="H36" s="1">
        <v>-19.811236000000001</v>
      </c>
      <c r="I36">
        <v>-19.834810000000001</v>
      </c>
      <c r="J36">
        <f t="shared" si="3"/>
        <v>6.2974299999999985</v>
      </c>
      <c r="K36">
        <f t="shared" si="4"/>
        <v>4.8397530000000017</v>
      </c>
      <c r="L36">
        <f t="shared" si="5"/>
        <v>3.3798400000000015</v>
      </c>
      <c r="M36">
        <f t="shared" si="6"/>
        <v>2.8522660000000002</v>
      </c>
      <c r="N36">
        <f t="shared" si="7"/>
        <v>2.9224439999999987</v>
      </c>
    </row>
    <row r="37" spans="1:14" x14ac:dyDescent="0.2">
      <c r="A37" s="1">
        <v>36</v>
      </c>
      <c r="B37" s="14" t="s">
        <v>52</v>
      </c>
      <c r="C37" s="5">
        <v>2</v>
      </c>
      <c r="D37" s="8">
        <v>1.6093759999999999</v>
      </c>
      <c r="E37" s="1">
        <v>-24.640567999999998</v>
      </c>
      <c r="F37" s="1">
        <v>-21.466650999999999</v>
      </c>
      <c r="G37" s="1">
        <v>-17.929361</v>
      </c>
      <c r="H37" s="1">
        <v>-19.904709</v>
      </c>
      <c r="I37">
        <v>-19.915617000000001</v>
      </c>
      <c r="J37">
        <f t="shared" si="3"/>
        <v>3.6975020000000001</v>
      </c>
      <c r="K37">
        <f t="shared" si="4"/>
        <v>3.4056300000000022</v>
      </c>
      <c r="L37">
        <f t="shared" si="5"/>
        <v>3.1679519999999997</v>
      </c>
      <c r="M37">
        <f t="shared" si="6"/>
        <v>2.7587930000000007</v>
      </c>
      <c r="N37">
        <f t="shared" si="7"/>
        <v>2.8416369999999986</v>
      </c>
    </row>
    <row r="38" spans="1:14" x14ac:dyDescent="0.2">
      <c r="A38" s="1">
        <v>37</v>
      </c>
      <c r="B38" s="14" t="s">
        <v>53</v>
      </c>
      <c r="C38" s="5">
        <v>2</v>
      </c>
      <c r="D38" s="8">
        <v>6.2663909999999996</v>
      </c>
      <c r="E38" s="1">
        <v>-22.448578000000001</v>
      </c>
      <c r="F38" s="1">
        <v>-20.049985</v>
      </c>
      <c r="G38" s="1">
        <v>-17.184915</v>
      </c>
      <c r="H38" s="1">
        <v>-18.753457000000001</v>
      </c>
      <c r="I38">
        <v>-18.652739</v>
      </c>
      <c r="J38">
        <f t="shared" si="3"/>
        <v>5.8894919999999971</v>
      </c>
      <c r="K38">
        <f t="shared" si="4"/>
        <v>4.8222960000000015</v>
      </c>
      <c r="L38">
        <f t="shared" si="5"/>
        <v>3.9123979999999996</v>
      </c>
      <c r="M38">
        <f t="shared" si="6"/>
        <v>3.9100450000000002</v>
      </c>
      <c r="N38">
        <f t="shared" si="7"/>
        <v>4.1045149999999992</v>
      </c>
    </row>
    <row r="39" spans="1:14" x14ac:dyDescent="0.2">
      <c r="A39" s="1">
        <v>38</v>
      </c>
      <c r="B39" s="14" t="s">
        <v>54</v>
      </c>
      <c r="C39" s="5">
        <v>2</v>
      </c>
      <c r="D39" s="8">
        <v>3.1645129999999999</v>
      </c>
      <c r="E39" s="1">
        <v>-24.852242</v>
      </c>
      <c r="F39" s="1">
        <v>-22.893584000000001</v>
      </c>
      <c r="G39" s="1">
        <v>-19.794377999999998</v>
      </c>
      <c r="H39" s="1">
        <v>-21.405560000000001</v>
      </c>
      <c r="I39">
        <v>-21.501106</v>
      </c>
      <c r="J39">
        <f t="shared" si="3"/>
        <v>3.4858279999999979</v>
      </c>
      <c r="K39">
        <f t="shared" si="4"/>
        <v>1.9786970000000004</v>
      </c>
      <c r="L39">
        <f t="shared" si="5"/>
        <v>1.3029350000000015</v>
      </c>
      <c r="M39">
        <f t="shared" si="6"/>
        <v>1.2579419999999999</v>
      </c>
      <c r="N39">
        <f t="shared" si="7"/>
        <v>1.2561479999999996</v>
      </c>
    </row>
    <row r="40" spans="1:14" x14ac:dyDescent="0.2">
      <c r="A40" s="1">
        <v>39</v>
      </c>
      <c r="B40" s="14" t="s">
        <v>55</v>
      </c>
      <c r="C40" s="5">
        <v>2</v>
      </c>
      <c r="D40" s="8">
        <v>6.6527089999999998</v>
      </c>
      <c r="E40" s="1">
        <v>-21.131146000000001</v>
      </c>
      <c r="F40" s="1">
        <v>-18.573922</v>
      </c>
      <c r="G40" s="1">
        <v>-17.017357000000001</v>
      </c>
      <c r="H40" s="1">
        <v>-19.227554000000001</v>
      </c>
      <c r="I40">
        <v>-19.085155</v>
      </c>
      <c r="J40">
        <f t="shared" si="3"/>
        <v>7.2069239999999972</v>
      </c>
      <c r="K40">
        <f t="shared" si="4"/>
        <v>6.2983590000000014</v>
      </c>
      <c r="L40">
        <f t="shared" si="5"/>
        <v>4.0799559999999992</v>
      </c>
      <c r="M40">
        <f t="shared" si="6"/>
        <v>3.4359479999999998</v>
      </c>
      <c r="N40">
        <f t="shared" si="7"/>
        <v>3.6720989999999993</v>
      </c>
    </row>
    <row r="41" spans="1:14" x14ac:dyDescent="0.2">
      <c r="A41" s="1">
        <v>40</v>
      </c>
      <c r="B41" s="14" t="s">
        <v>56</v>
      </c>
      <c r="C41" s="5">
        <v>2</v>
      </c>
      <c r="D41" s="8">
        <v>4.5126400000000002</v>
      </c>
      <c r="E41" s="1">
        <v>-22.823553</v>
      </c>
      <c r="F41" s="1">
        <v>-20.386721999999999</v>
      </c>
      <c r="G41" s="1">
        <v>-18.839406</v>
      </c>
      <c r="H41" s="1">
        <v>-21.006350000000001</v>
      </c>
      <c r="I41">
        <v>-21.157098999999999</v>
      </c>
      <c r="J41">
        <f t="shared" si="3"/>
        <v>5.5145169999999979</v>
      </c>
      <c r="K41">
        <f t="shared" si="4"/>
        <v>4.4855590000000021</v>
      </c>
      <c r="L41">
        <f t="shared" si="5"/>
        <v>2.2579069999999994</v>
      </c>
      <c r="M41">
        <f t="shared" si="6"/>
        <v>1.657152</v>
      </c>
      <c r="N41">
        <f t="shared" si="7"/>
        <v>1.6001550000000009</v>
      </c>
    </row>
    <row r="42" spans="1:14" x14ac:dyDescent="0.2">
      <c r="A42" s="1">
        <v>41</v>
      </c>
      <c r="B42" s="14" t="s">
        <v>57</v>
      </c>
      <c r="C42" s="5">
        <v>2</v>
      </c>
      <c r="D42" s="8">
        <v>2.5737019999999999</v>
      </c>
      <c r="E42" s="1">
        <v>-21.154741000000001</v>
      </c>
      <c r="F42" s="1">
        <v>-19.487953999999998</v>
      </c>
      <c r="G42" s="1">
        <v>-16.626425999999999</v>
      </c>
      <c r="H42" s="1">
        <v>-18.646768000000002</v>
      </c>
      <c r="I42">
        <v>-18.659469000000001</v>
      </c>
      <c r="J42">
        <f t="shared" si="3"/>
        <v>7.183328999999997</v>
      </c>
      <c r="K42">
        <f t="shared" si="4"/>
        <v>5.3843270000000025</v>
      </c>
      <c r="L42">
        <f t="shared" si="5"/>
        <v>4.4708870000000012</v>
      </c>
      <c r="M42">
        <f t="shared" si="6"/>
        <v>4.0167339999999996</v>
      </c>
      <c r="N42">
        <f t="shared" si="7"/>
        <v>4.0977849999999982</v>
      </c>
    </row>
    <row r="43" spans="1:14" x14ac:dyDescent="0.2">
      <c r="A43" s="1">
        <v>42</v>
      </c>
      <c r="B43" s="14" t="s">
        <v>58</v>
      </c>
      <c r="C43" s="5">
        <v>2</v>
      </c>
      <c r="D43" s="8">
        <v>4.6916900000000004</v>
      </c>
      <c r="E43" s="1">
        <v>-20.301030000000001</v>
      </c>
      <c r="F43" s="1">
        <v>-16.698526999999999</v>
      </c>
      <c r="G43" s="1">
        <v>-13.120547</v>
      </c>
      <c r="H43" s="1">
        <v>-14.900176999999999</v>
      </c>
      <c r="I43">
        <v>-14.804911000000001</v>
      </c>
      <c r="J43">
        <f t="shared" si="3"/>
        <v>8.0370399999999975</v>
      </c>
      <c r="K43">
        <f t="shared" si="4"/>
        <v>8.1737540000000024</v>
      </c>
      <c r="L43">
        <f t="shared" si="5"/>
        <v>7.9767659999999996</v>
      </c>
      <c r="M43">
        <f t="shared" si="6"/>
        <v>7.7633250000000018</v>
      </c>
      <c r="N43">
        <f t="shared" si="7"/>
        <v>7.9523429999999991</v>
      </c>
    </row>
    <row r="44" spans="1:14" x14ac:dyDescent="0.2">
      <c r="A44" s="1">
        <v>43</v>
      </c>
      <c r="B44" s="14" t="s">
        <v>59</v>
      </c>
      <c r="C44" s="5">
        <v>2</v>
      </c>
      <c r="D44" s="8">
        <v>5.7258230000000001</v>
      </c>
      <c r="E44" s="1">
        <v>-23.053198999999999</v>
      </c>
      <c r="F44" s="1">
        <v>-21.069565999999998</v>
      </c>
      <c r="G44" s="1">
        <v>-19.770707000000002</v>
      </c>
      <c r="H44" s="1">
        <v>-21.849809</v>
      </c>
      <c r="I44">
        <v>-21.842298</v>
      </c>
      <c r="J44">
        <f t="shared" si="3"/>
        <v>5.284870999999999</v>
      </c>
      <c r="K44">
        <f t="shared" si="4"/>
        <v>3.8027150000000027</v>
      </c>
      <c r="L44">
        <f t="shared" si="5"/>
        <v>1.3266059999999982</v>
      </c>
      <c r="M44">
        <f t="shared" si="6"/>
        <v>0.81369300000000067</v>
      </c>
      <c r="N44">
        <f t="shared" si="7"/>
        <v>0.9149560000000001</v>
      </c>
    </row>
    <row r="45" spans="1:14" x14ac:dyDescent="0.2">
      <c r="A45" s="1">
        <v>44</v>
      </c>
      <c r="B45" s="14" t="s">
        <v>60</v>
      </c>
      <c r="C45" s="5">
        <v>2</v>
      </c>
      <c r="D45" s="8">
        <v>2.8987599999999998</v>
      </c>
      <c r="E45" s="1">
        <v>-23.423798000000001</v>
      </c>
      <c r="F45" s="1">
        <v>-20.498842</v>
      </c>
      <c r="G45" s="1">
        <v>-16.109750999999999</v>
      </c>
      <c r="H45" s="1">
        <v>-17.535226000000002</v>
      </c>
      <c r="I45">
        <v>-17.519531000000001</v>
      </c>
      <c r="J45">
        <f t="shared" si="3"/>
        <v>4.9142719999999969</v>
      </c>
      <c r="K45">
        <f t="shared" si="4"/>
        <v>4.3734390000000012</v>
      </c>
      <c r="L45">
        <f t="shared" si="5"/>
        <v>4.9875620000000005</v>
      </c>
      <c r="M45">
        <f t="shared" si="6"/>
        <v>5.1282759999999996</v>
      </c>
      <c r="N45">
        <f t="shared" si="7"/>
        <v>5.237722999999999</v>
      </c>
    </row>
    <row r="46" spans="1:14" x14ac:dyDescent="0.2">
      <c r="A46" s="1">
        <v>45</v>
      </c>
      <c r="B46" s="14" t="s">
        <v>61</v>
      </c>
      <c r="C46" s="5">
        <v>2</v>
      </c>
      <c r="D46" s="8">
        <v>6.2529050000000002</v>
      </c>
      <c r="E46" s="1">
        <v>-21.113996</v>
      </c>
      <c r="F46" s="1">
        <v>-17.462332</v>
      </c>
      <c r="G46" s="1">
        <v>-13.902430000000001</v>
      </c>
      <c r="H46" s="1">
        <v>-15.851495</v>
      </c>
      <c r="I46">
        <v>-15.763369000000001</v>
      </c>
      <c r="J46">
        <f t="shared" si="3"/>
        <v>7.2240739999999981</v>
      </c>
      <c r="K46">
        <f t="shared" si="4"/>
        <v>7.409949000000001</v>
      </c>
      <c r="L46">
        <f t="shared" si="5"/>
        <v>7.194882999999999</v>
      </c>
      <c r="M46">
        <f t="shared" si="6"/>
        <v>6.8120070000000013</v>
      </c>
      <c r="N46">
        <f t="shared" si="7"/>
        <v>6.9938849999999988</v>
      </c>
    </row>
    <row r="47" spans="1:14" x14ac:dyDescent="0.2">
      <c r="A47" s="1">
        <v>46</v>
      </c>
      <c r="B47" s="14" t="s">
        <v>62</v>
      </c>
      <c r="C47" s="5">
        <v>2</v>
      </c>
      <c r="D47" s="8">
        <v>6.0271480000000004</v>
      </c>
      <c r="E47" s="1">
        <v>-20.276022999999999</v>
      </c>
      <c r="F47" s="1">
        <v>-17.109511999999999</v>
      </c>
      <c r="G47" s="1">
        <v>-13.854031000000001</v>
      </c>
      <c r="H47" s="1">
        <v>-15.651527</v>
      </c>
      <c r="I47">
        <v>-15.571517</v>
      </c>
      <c r="J47">
        <f t="shared" si="3"/>
        <v>8.0620469999999997</v>
      </c>
      <c r="K47">
        <f t="shared" si="4"/>
        <v>7.7627690000000023</v>
      </c>
      <c r="L47">
        <f t="shared" si="5"/>
        <v>7.2432819999999989</v>
      </c>
      <c r="M47">
        <f t="shared" si="6"/>
        <v>7.0119750000000014</v>
      </c>
      <c r="N47">
        <f t="shared" si="7"/>
        <v>7.1857369999999996</v>
      </c>
    </row>
    <row r="48" spans="1:14" x14ac:dyDescent="0.2">
      <c r="A48" s="1">
        <v>47</v>
      </c>
      <c r="B48" s="14" t="s">
        <v>63</v>
      </c>
      <c r="C48" s="5">
        <v>2</v>
      </c>
      <c r="D48" s="8">
        <v>5.7997940000000003</v>
      </c>
      <c r="E48" s="1">
        <v>-20.708969</v>
      </c>
      <c r="F48" s="1">
        <v>-16.715983000000001</v>
      </c>
      <c r="G48" s="1">
        <v>-12.587989</v>
      </c>
      <c r="H48" s="1">
        <v>-13.842397999999999</v>
      </c>
      <c r="I48">
        <v>-13.62284</v>
      </c>
      <c r="J48">
        <f t="shared" si="3"/>
        <v>7.6291009999999986</v>
      </c>
      <c r="K48">
        <f t="shared" si="4"/>
        <v>8.1562979999999996</v>
      </c>
      <c r="L48">
        <f t="shared" si="5"/>
        <v>8.5093239999999994</v>
      </c>
      <c r="M48">
        <f t="shared" si="6"/>
        <v>8.8211040000000018</v>
      </c>
      <c r="N48">
        <f t="shared" si="7"/>
        <v>9.1344139999999996</v>
      </c>
    </row>
    <row r="49" spans="1:14" x14ac:dyDescent="0.2">
      <c r="A49" s="1">
        <v>48</v>
      </c>
      <c r="B49" s="14" t="s">
        <v>64</v>
      </c>
      <c r="C49" s="5">
        <v>2</v>
      </c>
      <c r="D49" s="8">
        <v>5.7659089999999997</v>
      </c>
      <c r="E49" s="1">
        <v>-21.880275999999999</v>
      </c>
      <c r="F49" s="1">
        <v>-20.64556</v>
      </c>
      <c r="G49" s="1">
        <v>-18.519154</v>
      </c>
      <c r="H49" s="1">
        <v>-19.910163000000001</v>
      </c>
      <c r="I49">
        <v>-19.983633999999999</v>
      </c>
      <c r="J49">
        <f t="shared" si="3"/>
        <v>6.4577939999999998</v>
      </c>
      <c r="K49">
        <f t="shared" si="4"/>
        <v>4.2267210000000013</v>
      </c>
      <c r="L49">
        <f t="shared" si="5"/>
        <v>2.5781589999999994</v>
      </c>
      <c r="M49">
        <f t="shared" si="6"/>
        <v>2.7533390000000004</v>
      </c>
      <c r="N49">
        <f t="shared" si="7"/>
        <v>2.7736200000000011</v>
      </c>
    </row>
    <row r="50" spans="1:14" x14ac:dyDescent="0.2">
      <c r="A50" s="1">
        <v>49</v>
      </c>
      <c r="B50" s="14" t="s">
        <v>65</v>
      </c>
      <c r="C50" s="5">
        <v>2</v>
      </c>
      <c r="D50" s="8">
        <v>1.9744459999999999</v>
      </c>
      <c r="E50" s="1">
        <v>-22.196332000000002</v>
      </c>
      <c r="F50" s="1">
        <v>-19.581993000000001</v>
      </c>
      <c r="G50" s="1">
        <v>-15.713307</v>
      </c>
      <c r="H50" s="1">
        <v>-17.516186999999999</v>
      </c>
      <c r="I50">
        <v>-17.563960000000002</v>
      </c>
      <c r="J50">
        <f t="shared" si="3"/>
        <v>6.1417379999999966</v>
      </c>
      <c r="K50">
        <f t="shared" si="4"/>
        <v>5.2902880000000003</v>
      </c>
      <c r="L50">
        <f t="shared" si="5"/>
        <v>5.3840059999999994</v>
      </c>
      <c r="M50">
        <f t="shared" si="6"/>
        <v>5.1473150000000025</v>
      </c>
      <c r="N50">
        <f t="shared" si="7"/>
        <v>5.1932939999999981</v>
      </c>
    </row>
    <row r="51" spans="1:14" x14ac:dyDescent="0.2">
      <c r="A51" s="1">
        <v>50</v>
      </c>
      <c r="B51" s="14" t="s">
        <v>66</v>
      </c>
      <c r="C51" s="5">
        <v>2</v>
      </c>
      <c r="D51" s="8">
        <v>5.3218569999999996</v>
      </c>
      <c r="E51" s="1">
        <v>-20.695414</v>
      </c>
      <c r="F51" s="1">
        <v>-19.09506</v>
      </c>
      <c r="G51" s="1">
        <v>-17.77946</v>
      </c>
      <c r="H51" s="1">
        <v>-19.589877000000001</v>
      </c>
      <c r="I51">
        <v>-19.716208000000002</v>
      </c>
      <c r="J51">
        <f t="shared" si="3"/>
        <v>7.6426559999999988</v>
      </c>
      <c r="K51">
        <f t="shared" si="4"/>
        <v>5.7772210000000008</v>
      </c>
      <c r="L51">
        <f t="shared" si="5"/>
        <v>3.3178529999999995</v>
      </c>
      <c r="M51">
        <f t="shared" si="6"/>
        <v>3.0736249999999998</v>
      </c>
      <c r="N51">
        <f t="shared" si="7"/>
        <v>3.0410459999999979</v>
      </c>
    </row>
    <row r="52" spans="1:14" x14ac:dyDescent="0.2">
      <c r="A52" s="1">
        <v>51</v>
      </c>
      <c r="B52" s="14" t="s">
        <v>67</v>
      </c>
      <c r="C52" s="5">
        <v>2</v>
      </c>
      <c r="D52" s="8">
        <v>5.9997780000000001</v>
      </c>
      <c r="E52" s="1">
        <v>-24.42071</v>
      </c>
      <c r="F52" s="1">
        <v>-21.962095999999999</v>
      </c>
      <c r="G52" s="1">
        <v>-20.717866000000001</v>
      </c>
      <c r="H52" s="1">
        <v>-23.044125999999999</v>
      </c>
      <c r="I52">
        <v>-23.108862999999999</v>
      </c>
      <c r="J52">
        <f t="shared" si="3"/>
        <v>3.9173599999999986</v>
      </c>
      <c r="K52">
        <f t="shared" si="4"/>
        <v>2.910185000000002</v>
      </c>
      <c r="L52">
        <f t="shared" si="5"/>
        <v>0.37944699999999898</v>
      </c>
      <c r="M52">
        <f t="shared" si="6"/>
        <v>-0.38062399999999741</v>
      </c>
      <c r="N52">
        <f t="shared" si="7"/>
        <v>-0.35160899999999984</v>
      </c>
    </row>
    <row r="53" spans="1:14" x14ac:dyDescent="0.2">
      <c r="A53" s="1">
        <v>52</v>
      </c>
      <c r="B53" s="14" t="s">
        <v>68</v>
      </c>
      <c r="C53" s="5">
        <v>2</v>
      </c>
      <c r="D53" s="8">
        <v>5.7768889999999997</v>
      </c>
      <c r="E53" s="1">
        <v>-22.204530999999999</v>
      </c>
      <c r="F53" s="1">
        <v>-19.805857</v>
      </c>
      <c r="G53" s="1">
        <v>-16.758327000000001</v>
      </c>
      <c r="H53" s="1">
        <v>-18.712313000000002</v>
      </c>
      <c r="I53">
        <v>-18.747451000000002</v>
      </c>
      <c r="J53">
        <f t="shared" si="3"/>
        <v>6.133538999999999</v>
      </c>
      <c r="K53">
        <f t="shared" si="4"/>
        <v>5.0664240000000014</v>
      </c>
      <c r="L53">
        <f t="shared" si="5"/>
        <v>4.3389859999999985</v>
      </c>
      <c r="M53">
        <f t="shared" si="6"/>
        <v>3.9511889999999994</v>
      </c>
      <c r="N53">
        <f t="shared" si="7"/>
        <v>4.009802999999998</v>
      </c>
    </row>
    <row r="54" spans="1:14" x14ac:dyDescent="0.2">
      <c r="A54" s="1">
        <v>53</v>
      </c>
      <c r="B54" s="14" t="s">
        <v>69</v>
      </c>
      <c r="C54" s="5">
        <v>2</v>
      </c>
      <c r="D54" s="8">
        <v>6.1344810000000001</v>
      </c>
      <c r="E54" s="1">
        <v>-21.959322</v>
      </c>
      <c r="F54" s="1">
        <v>-18.965848000000001</v>
      </c>
      <c r="G54" s="1">
        <v>-15.386884999999999</v>
      </c>
      <c r="H54" s="1">
        <v>-17.279544000000001</v>
      </c>
      <c r="I54">
        <v>-17.435421000000002</v>
      </c>
      <c r="J54">
        <f t="shared" si="3"/>
        <v>6.3787479999999981</v>
      </c>
      <c r="K54">
        <f t="shared" si="4"/>
        <v>5.9064329999999998</v>
      </c>
      <c r="L54">
        <f t="shared" si="5"/>
        <v>5.7104280000000003</v>
      </c>
      <c r="M54">
        <f t="shared" si="6"/>
        <v>5.3839579999999998</v>
      </c>
      <c r="N54">
        <f t="shared" si="7"/>
        <v>5.321832999999998</v>
      </c>
    </row>
    <row r="55" spans="1:14" x14ac:dyDescent="0.2">
      <c r="A55" s="1">
        <v>54</v>
      </c>
      <c r="B55" s="14" t="s">
        <v>70</v>
      </c>
      <c r="C55" s="5">
        <v>2</v>
      </c>
      <c r="D55" s="8">
        <v>4.3815379999999999</v>
      </c>
      <c r="E55" s="1">
        <v>-21.390751999999999</v>
      </c>
      <c r="F55" s="1">
        <v>-19.694785</v>
      </c>
      <c r="G55" s="1">
        <v>-18.311267999999998</v>
      </c>
      <c r="H55" s="1">
        <v>-20.371517999999998</v>
      </c>
      <c r="I55">
        <v>-20.400645999999998</v>
      </c>
      <c r="J55">
        <f t="shared" si="3"/>
        <v>6.9473179999999992</v>
      </c>
      <c r="K55">
        <f t="shared" si="4"/>
        <v>5.1774960000000014</v>
      </c>
      <c r="L55">
        <f t="shared" si="5"/>
        <v>2.7860450000000014</v>
      </c>
      <c r="M55">
        <f t="shared" si="6"/>
        <v>2.2919840000000029</v>
      </c>
      <c r="N55">
        <f t="shared" si="7"/>
        <v>2.3566080000000014</v>
      </c>
    </row>
    <row r="56" spans="1:14" x14ac:dyDescent="0.2">
      <c r="A56" s="1">
        <v>55</v>
      </c>
      <c r="B56" s="14" t="s">
        <v>71</v>
      </c>
      <c r="C56" s="5">
        <v>2</v>
      </c>
      <c r="D56" s="8">
        <v>5.2949700000000002</v>
      </c>
      <c r="E56" s="1">
        <v>-24.403559000000001</v>
      </c>
      <c r="F56" s="1">
        <v>-20.850505999999999</v>
      </c>
      <c r="G56" s="1">
        <v>-17.602938999999999</v>
      </c>
      <c r="H56" s="1">
        <v>-19.668066</v>
      </c>
      <c r="I56">
        <v>-19.787077</v>
      </c>
      <c r="J56">
        <f t="shared" si="3"/>
        <v>3.934510999999997</v>
      </c>
      <c r="K56">
        <f t="shared" si="4"/>
        <v>4.0217750000000017</v>
      </c>
      <c r="L56">
        <f t="shared" si="5"/>
        <v>3.4943740000000005</v>
      </c>
      <c r="M56">
        <f t="shared" si="6"/>
        <v>2.9954360000000015</v>
      </c>
      <c r="N56">
        <f t="shared" si="7"/>
        <v>2.9701769999999996</v>
      </c>
    </row>
    <row r="57" spans="1:14" x14ac:dyDescent="0.2">
      <c r="A57" s="1">
        <v>56</v>
      </c>
      <c r="B57" s="14" t="s">
        <v>72</v>
      </c>
      <c r="C57" s="5">
        <v>2</v>
      </c>
      <c r="D57" s="8">
        <v>5.9378719999999996</v>
      </c>
      <c r="E57" s="1">
        <v>-22.401375999999999</v>
      </c>
      <c r="F57" s="1">
        <v>-18.528782</v>
      </c>
      <c r="G57" s="1">
        <v>-14.410038999999999</v>
      </c>
      <c r="H57" s="1">
        <v>-15.621193999999999</v>
      </c>
      <c r="I57">
        <v>-15.694784</v>
      </c>
      <c r="J57">
        <f t="shared" si="3"/>
        <v>5.9366939999999992</v>
      </c>
      <c r="K57">
        <f t="shared" si="4"/>
        <v>6.3434990000000013</v>
      </c>
      <c r="L57">
        <f t="shared" si="5"/>
        <v>6.6872740000000004</v>
      </c>
      <c r="M57">
        <f t="shared" si="6"/>
        <v>7.042308000000002</v>
      </c>
      <c r="N57">
        <f t="shared" si="7"/>
        <v>7.0624699999999994</v>
      </c>
    </row>
    <row r="58" spans="1:14" x14ac:dyDescent="0.2">
      <c r="A58" s="1">
        <v>57</v>
      </c>
      <c r="B58" s="14" t="s">
        <v>73</v>
      </c>
      <c r="C58" s="5">
        <v>2</v>
      </c>
      <c r="D58" s="8">
        <v>3.9875630000000002</v>
      </c>
      <c r="E58" s="1">
        <v>-24.227817999999999</v>
      </c>
      <c r="F58" s="1">
        <v>-21.693321999999998</v>
      </c>
      <c r="G58" s="1">
        <v>-19.369734999999999</v>
      </c>
      <c r="H58" s="1">
        <v>-21.028600999999998</v>
      </c>
      <c r="I58">
        <v>-21.119620000000001</v>
      </c>
      <c r="J58">
        <f t="shared" si="3"/>
        <v>4.1102519999999991</v>
      </c>
      <c r="K58">
        <f t="shared" si="4"/>
        <v>3.1789590000000025</v>
      </c>
      <c r="L58">
        <f t="shared" si="5"/>
        <v>1.7275780000000012</v>
      </c>
      <c r="M58">
        <f t="shared" si="6"/>
        <v>1.6349010000000028</v>
      </c>
      <c r="N58">
        <f t="shared" si="7"/>
        <v>1.6376339999999985</v>
      </c>
    </row>
    <row r="59" spans="1:14" x14ac:dyDescent="0.2">
      <c r="A59" s="1">
        <v>58</v>
      </c>
      <c r="B59" s="14" t="s">
        <v>74</v>
      </c>
      <c r="C59" s="5">
        <v>2</v>
      </c>
      <c r="D59" s="8">
        <v>5.2368880000000004</v>
      </c>
      <c r="E59" s="1">
        <v>-20.681415999999999</v>
      </c>
      <c r="F59" s="1">
        <v>-17.306092</v>
      </c>
      <c r="G59" s="1">
        <v>-13.179397</v>
      </c>
      <c r="H59" s="1">
        <v>-14.56847</v>
      </c>
      <c r="I59">
        <v>-14.360588999999999</v>
      </c>
      <c r="J59">
        <f t="shared" si="3"/>
        <v>7.6566539999999996</v>
      </c>
      <c r="K59">
        <f t="shared" si="4"/>
        <v>7.5661890000000014</v>
      </c>
      <c r="L59">
        <f t="shared" si="5"/>
        <v>7.917916</v>
      </c>
      <c r="M59">
        <f t="shared" si="6"/>
        <v>8.0950320000000016</v>
      </c>
      <c r="N59">
        <f t="shared" si="7"/>
        <v>8.3966650000000005</v>
      </c>
    </row>
    <row r="60" spans="1:14" x14ac:dyDescent="0.2">
      <c r="A60" s="1">
        <v>59</v>
      </c>
      <c r="B60" s="14" t="s">
        <v>75</v>
      </c>
      <c r="C60" s="5">
        <v>2</v>
      </c>
      <c r="D60" s="8">
        <v>1.1078209999999999</v>
      </c>
      <c r="E60" s="1">
        <v>-24.640567999999998</v>
      </c>
      <c r="F60" s="1">
        <v>-21.466650999999999</v>
      </c>
      <c r="G60" s="1">
        <v>-17.929361</v>
      </c>
      <c r="H60" s="1">
        <v>-19.904709</v>
      </c>
      <c r="I60">
        <v>-19.915617000000001</v>
      </c>
      <c r="J60">
        <f t="shared" si="3"/>
        <v>3.6975020000000001</v>
      </c>
      <c r="K60">
        <f t="shared" si="4"/>
        <v>3.4056300000000022</v>
      </c>
      <c r="L60">
        <f t="shared" si="5"/>
        <v>3.1679519999999997</v>
      </c>
      <c r="M60">
        <f t="shared" si="6"/>
        <v>2.7587930000000007</v>
      </c>
      <c r="N60">
        <f t="shared" si="7"/>
        <v>2.8416369999999986</v>
      </c>
    </row>
    <row r="61" spans="1:14" x14ac:dyDescent="0.2">
      <c r="A61" s="1">
        <v>60</v>
      </c>
      <c r="B61" s="14" t="s">
        <v>76</v>
      </c>
      <c r="C61" s="5">
        <v>2</v>
      </c>
      <c r="D61" s="8">
        <v>5.9094360000000004</v>
      </c>
      <c r="E61" s="1">
        <v>-22.631022000000002</v>
      </c>
      <c r="F61" s="1">
        <v>-19.211625999999999</v>
      </c>
      <c r="G61" s="1">
        <v>-15.341339</v>
      </c>
      <c r="H61" s="1">
        <v>-16.464652999999998</v>
      </c>
      <c r="I61">
        <v>-16.379981999999998</v>
      </c>
      <c r="J61">
        <f t="shared" si="3"/>
        <v>5.7070479999999968</v>
      </c>
      <c r="K61">
        <f t="shared" si="4"/>
        <v>5.660655000000002</v>
      </c>
      <c r="L61">
        <f t="shared" si="5"/>
        <v>5.7559740000000001</v>
      </c>
      <c r="M61">
        <f t="shared" si="6"/>
        <v>6.1988490000000027</v>
      </c>
      <c r="N61">
        <f t="shared" si="7"/>
        <v>6.3772720000000014</v>
      </c>
    </row>
    <row r="62" spans="1:14" x14ac:dyDescent="0.2">
      <c r="A62" s="1">
        <v>61</v>
      </c>
      <c r="B62" s="14" t="s">
        <v>77</v>
      </c>
      <c r="C62" s="5">
        <v>2</v>
      </c>
      <c r="D62" s="8">
        <v>4.5407659999999996</v>
      </c>
      <c r="E62" s="1">
        <v>-20.910702000000001</v>
      </c>
      <c r="F62" s="1">
        <v>-18.895257000000001</v>
      </c>
      <c r="G62" s="1">
        <v>-16.260634</v>
      </c>
      <c r="H62" s="1">
        <v>-17.938101</v>
      </c>
      <c r="I62">
        <v>-17.833662</v>
      </c>
      <c r="J62">
        <f t="shared" si="3"/>
        <v>7.4273679999999977</v>
      </c>
      <c r="K62">
        <f t="shared" si="4"/>
        <v>5.9770240000000001</v>
      </c>
      <c r="L62">
        <f t="shared" si="5"/>
        <v>4.8366790000000002</v>
      </c>
      <c r="M62">
        <f t="shared" si="6"/>
        <v>4.7254010000000015</v>
      </c>
      <c r="N62">
        <f t="shared" si="7"/>
        <v>4.9235919999999993</v>
      </c>
    </row>
    <row r="63" spans="1:14" x14ac:dyDescent="0.2">
      <c r="A63" s="1">
        <v>62</v>
      </c>
      <c r="B63" s="14" t="s">
        <v>78</v>
      </c>
      <c r="C63" s="5">
        <v>2</v>
      </c>
      <c r="D63" s="8">
        <v>1.9283399999999999</v>
      </c>
      <c r="E63" s="1">
        <v>-24.640567999999998</v>
      </c>
      <c r="F63" s="1">
        <v>-21.466650999999999</v>
      </c>
      <c r="G63" s="1">
        <v>-17.929361</v>
      </c>
      <c r="H63" s="1">
        <v>-19.904709</v>
      </c>
      <c r="I63">
        <v>-19.915617000000001</v>
      </c>
      <c r="J63">
        <f t="shared" si="3"/>
        <v>3.6975020000000001</v>
      </c>
      <c r="K63">
        <f t="shared" si="4"/>
        <v>3.4056300000000022</v>
      </c>
      <c r="L63">
        <f t="shared" si="5"/>
        <v>3.1679519999999997</v>
      </c>
      <c r="M63">
        <f t="shared" si="6"/>
        <v>2.7587930000000007</v>
      </c>
      <c r="N63">
        <f t="shared" si="7"/>
        <v>2.8416369999999986</v>
      </c>
    </row>
    <row r="64" spans="1:14" x14ac:dyDescent="0.2">
      <c r="A64" s="1">
        <v>63</v>
      </c>
      <c r="B64" s="14" t="s">
        <v>79</v>
      </c>
      <c r="C64" s="5">
        <v>2</v>
      </c>
      <c r="D64" s="8">
        <v>6.3418770000000002</v>
      </c>
      <c r="E64" s="1">
        <v>-24.42071</v>
      </c>
      <c r="F64" s="1">
        <v>-21.962095999999999</v>
      </c>
      <c r="G64" s="1">
        <v>-20.717866000000001</v>
      </c>
      <c r="H64" s="1">
        <v>-23.044125999999999</v>
      </c>
      <c r="I64">
        <v>-23.108862999999999</v>
      </c>
      <c r="J64">
        <f t="shared" si="3"/>
        <v>3.9173599999999986</v>
      </c>
      <c r="K64">
        <f t="shared" si="4"/>
        <v>2.910185000000002</v>
      </c>
      <c r="L64">
        <f t="shared" si="5"/>
        <v>0.37944699999999898</v>
      </c>
      <c r="M64">
        <f t="shared" si="6"/>
        <v>-0.38062399999999741</v>
      </c>
      <c r="N64">
        <f t="shared" si="7"/>
        <v>-0.35160899999999984</v>
      </c>
    </row>
    <row r="65" spans="1:14" x14ac:dyDescent="0.2">
      <c r="A65" s="1">
        <v>64</v>
      </c>
      <c r="B65" s="14" t="s">
        <v>80</v>
      </c>
      <c r="C65" s="5">
        <v>2</v>
      </c>
      <c r="D65" s="8">
        <v>6.6282730000000001</v>
      </c>
      <c r="E65" s="1">
        <v>-20.917731</v>
      </c>
      <c r="F65" s="1">
        <v>-18.871808999999999</v>
      </c>
      <c r="G65" s="1">
        <v>-16.300004000000001</v>
      </c>
      <c r="H65" s="1">
        <v>-18.410124</v>
      </c>
      <c r="I65">
        <v>-18.530929</v>
      </c>
      <c r="J65">
        <f t="shared" si="3"/>
        <v>7.4203389999999985</v>
      </c>
      <c r="K65">
        <f t="shared" si="4"/>
        <v>6.000472000000002</v>
      </c>
      <c r="L65">
        <f t="shared" si="5"/>
        <v>4.7973089999999985</v>
      </c>
      <c r="M65">
        <f t="shared" si="6"/>
        <v>4.2533780000000014</v>
      </c>
      <c r="N65">
        <f t="shared" si="7"/>
        <v>4.2263249999999992</v>
      </c>
    </row>
    <row r="66" spans="1:14" x14ac:dyDescent="0.2">
      <c r="A66" s="1">
        <v>65</v>
      </c>
      <c r="B66" s="14" t="s">
        <v>81</v>
      </c>
      <c r="C66" s="5">
        <v>2</v>
      </c>
      <c r="D66" s="8">
        <v>4.7567120000000003</v>
      </c>
      <c r="E66" s="1">
        <v>-20.938255000000002</v>
      </c>
      <c r="F66" s="1">
        <v>-18.305147999999999</v>
      </c>
      <c r="G66" s="1">
        <v>-15.669225000000001</v>
      </c>
      <c r="H66" s="1">
        <v>-17.212029000000001</v>
      </c>
      <c r="I66">
        <v>-17.095911999999998</v>
      </c>
      <c r="J66">
        <f t="shared" si="3"/>
        <v>7.3998149999999967</v>
      </c>
      <c r="K66">
        <f t="shared" si="4"/>
        <v>6.5671330000000019</v>
      </c>
      <c r="L66">
        <f t="shared" si="5"/>
        <v>5.4280879999999989</v>
      </c>
      <c r="M66">
        <f t="shared" si="6"/>
        <v>5.451473</v>
      </c>
      <c r="N66">
        <f t="shared" si="7"/>
        <v>5.6613420000000012</v>
      </c>
    </row>
    <row r="67" spans="1:14" x14ac:dyDescent="0.2">
      <c r="A67" s="1">
        <v>66</v>
      </c>
      <c r="B67" s="14" t="s">
        <v>82</v>
      </c>
      <c r="C67" s="5">
        <v>2</v>
      </c>
      <c r="D67" s="8">
        <v>1.550573</v>
      </c>
      <c r="E67" s="1">
        <v>-25.020954</v>
      </c>
      <c r="F67" s="1">
        <v>-22.074217000000001</v>
      </c>
      <c r="G67" s="1">
        <v>-17.988212000000001</v>
      </c>
      <c r="H67" s="1">
        <v>-19.573001999999999</v>
      </c>
      <c r="I67">
        <v>-19.471295000000001</v>
      </c>
      <c r="J67">
        <f t="shared" ref="J67:J130" si="12">E67-E$2</f>
        <v>3.3171159999999986</v>
      </c>
      <c r="K67">
        <f t="shared" ref="K67:K130" si="13">F67-F$2</f>
        <v>2.7980640000000001</v>
      </c>
      <c r="L67">
        <f t="shared" ref="L67:L130" si="14">G67-G$2</f>
        <v>3.109100999999999</v>
      </c>
      <c r="M67">
        <f t="shared" ref="M67:M130" si="15">H67-H$2</f>
        <v>3.0905000000000022</v>
      </c>
      <c r="N67">
        <f t="shared" ref="N67:N130" si="16">I67-I$2</f>
        <v>3.2859589999999983</v>
      </c>
    </row>
    <row r="68" spans="1:14" x14ac:dyDescent="0.2">
      <c r="A68" s="1">
        <v>67</v>
      </c>
      <c r="B68" s="14" t="s">
        <v>83</v>
      </c>
      <c r="C68" s="5">
        <v>2</v>
      </c>
      <c r="D68" s="8">
        <v>1.9055500000000001</v>
      </c>
      <c r="E68" s="1">
        <v>-22.44154</v>
      </c>
      <c r="F68" s="1">
        <v>-20.422001999999999</v>
      </c>
      <c r="G68" s="1">
        <v>-17.084748999999999</v>
      </c>
      <c r="H68" s="1">
        <v>-18.948955999999999</v>
      </c>
      <c r="I68">
        <v>-18.875990000000002</v>
      </c>
      <c r="J68">
        <f t="shared" si="12"/>
        <v>5.8965299999999985</v>
      </c>
      <c r="K68">
        <f t="shared" si="13"/>
        <v>4.4502790000000019</v>
      </c>
      <c r="L68">
        <f t="shared" si="14"/>
        <v>4.0125640000000011</v>
      </c>
      <c r="M68">
        <f t="shared" si="15"/>
        <v>3.7145460000000021</v>
      </c>
      <c r="N68">
        <f t="shared" si="16"/>
        <v>3.881263999999998</v>
      </c>
    </row>
    <row r="69" spans="1:14" x14ac:dyDescent="0.2">
      <c r="A69" s="1">
        <v>68</v>
      </c>
      <c r="B69" s="14" t="s">
        <v>84</v>
      </c>
      <c r="C69" s="5">
        <v>2</v>
      </c>
      <c r="D69" s="8">
        <v>3.8746909999999999</v>
      </c>
      <c r="E69" s="1">
        <v>-21.108163999999999</v>
      </c>
      <c r="F69" s="1">
        <v>-18.868389000000001</v>
      </c>
      <c r="G69" s="1">
        <v>-16.339086999999999</v>
      </c>
      <c r="H69" s="1">
        <v>-18.465985</v>
      </c>
      <c r="I69">
        <v>-18.512204000000001</v>
      </c>
      <c r="J69">
        <f t="shared" si="12"/>
        <v>7.2299059999999997</v>
      </c>
      <c r="K69">
        <f t="shared" si="13"/>
        <v>6.0038920000000005</v>
      </c>
      <c r="L69">
        <f t="shared" si="14"/>
        <v>4.7582260000000005</v>
      </c>
      <c r="M69">
        <f t="shared" si="15"/>
        <v>4.1975170000000013</v>
      </c>
      <c r="N69">
        <f t="shared" si="16"/>
        <v>4.2450499999999991</v>
      </c>
    </row>
    <row r="70" spans="1:14" x14ac:dyDescent="0.2">
      <c r="A70" s="1">
        <v>69</v>
      </c>
      <c r="B70" s="14" t="s">
        <v>85</v>
      </c>
      <c r="C70" s="5">
        <v>2</v>
      </c>
      <c r="D70" s="8">
        <v>2.499914</v>
      </c>
      <c r="E70" s="1">
        <v>-23.710955999999999</v>
      </c>
      <c r="F70" s="1">
        <v>-21.029595</v>
      </c>
      <c r="G70" s="1">
        <v>-16.812255</v>
      </c>
      <c r="H70" s="1">
        <v>-17.953119000000001</v>
      </c>
      <c r="I70">
        <v>-18.097272</v>
      </c>
      <c r="J70">
        <f t="shared" si="12"/>
        <v>4.6271139999999988</v>
      </c>
      <c r="K70">
        <f t="shared" si="13"/>
        <v>3.8426860000000005</v>
      </c>
      <c r="L70">
        <f t="shared" si="14"/>
        <v>4.2850579999999994</v>
      </c>
      <c r="M70">
        <f t="shared" si="15"/>
        <v>4.7103830000000002</v>
      </c>
      <c r="N70">
        <f t="shared" si="16"/>
        <v>4.6599819999999994</v>
      </c>
    </row>
    <row r="71" spans="1:14" x14ac:dyDescent="0.2">
      <c r="A71" s="1">
        <v>70</v>
      </c>
      <c r="B71" s="14" t="s">
        <v>86</v>
      </c>
      <c r="C71" s="5">
        <v>2</v>
      </c>
      <c r="D71" s="8">
        <v>3.4891510000000001</v>
      </c>
      <c r="E71" s="1">
        <v>-25.308112999999999</v>
      </c>
      <c r="F71" s="1">
        <v>-22.604970000000002</v>
      </c>
      <c r="G71" s="1">
        <v>-18.690715000000001</v>
      </c>
      <c r="H71" s="1">
        <v>-19.990894000000001</v>
      </c>
      <c r="I71">
        <v>-20.049036000000001</v>
      </c>
      <c r="J71">
        <f t="shared" si="12"/>
        <v>3.0299569999999996</v>
      </c>
      <c r="K71">
        <f t="shared" si="13"/>
        <v>2.2673109999999994</v>
      </c>
      <c r="L71">
        <f t="shared" si="14"/>
        <v>2.4065979999999989</v>
      </c>
      <c r="M71">
        <f t="shared" si="15"/>
        <v>2.6726080000000003</v>
      </c>
      <c r="N71">
        <f t="shared" si="16"/>
        <v>2.7082179999999987</v>
      </c>
    </row>
    <row r="72" spans="1:14" x14ac:dyDescent="0.2">
      <c r="A72" s="1">
        <v>71</v>
      </c>
      <c r="B72" s="14" t="s">
        <v>87</v>
      </c>
      <c r="C72" s="5">
        <v>2</v>
      </c>
      <c r="D72" s="8">
        <v>4.1799160000000004</v>
      </c>
      <c r="E72" s="1">
        <v>-23.998532000000001</v>
      </c>
      <c r="F72" s="1">
        <v>-20.104157000000001</v>
      </c>
      <c r="G72" s="1">
        <v>-16.288499000000002</v>
      </c>
      <c r="H72" s="1">
        <v>-17.65897</v>
      </c>
      <c r="I72">
        <v>-17.646547999999999</v>
      </c>
      <c r="J72">
        <f t="shared" si="12"/>
        <v>4.3395379999999975</v>
      </c>
      <c r="K72">
        <f t="shared" si="13"/>
        <v>4.7681240000000003</v>
      </c>
      <c r="L72">
        <f t="shared" si="14"/>
        <v>4.8088139999999981</v>
      </c>
      <c r="M72">
        <f t="shared" si="15"/>
        <v>5.0045320000000011</v>
      </c>
      <c r="N72">
        <f t="shared" si="16"/>
        <v>5.1107060000000004</v>
      </c>
    </row>
    <row r="73" spans="1:14" x14ac:dyDescent="0.2">
      <c r="A73" s="1">
        <v>72</v>
      </c>
      <c r="B73" s="14" t="s">
        <v>88</v>
      </c>
      <c r="C73" s="5">
        <v>2</v>
      </c>
      <c r="D73" s="8">
        <v>5.0931870000000004</v>
      </c>
      <c r="E73" s="1">
        <v>-20.934882000000002</v>
      </c>
      <c r="F73" s="1">
        <v>-19.983398999999999</v>
      </c>
      <c r="G73" s="1">
        <v>-19.414930999999999</v>
      </c>
      <c r="H73" s="1">
        <v>-21.786183999999999</v>
      </c>
      <c r="I73">
        <v>-21.852716000000001</v>
      </c>
      <c r="J73">
        <f t="shared" si="12"/>
        <v>7.4031879999999965</v>
      </c>
      <c r="K73">
        <f t="shared" si="13"/>
        <v>4.8888820000000024</v>
      </c>
      <c r="L73">
        <f t="shared" si="14"/>
        <v>1.6823820000000005</v>
      </c>
      <c r="M73">
        <f t="shared" si="15"/>
        <v>0.87731800000000248</v>
      </c>
      <c r="N73">
        <f t="shared" si="16"/>
        <v>0.90453799999999873</v>
      </c>
    </row>
    <row r="74" spans="1:14" x14ac:dyDescent="0.2">
      <c r="A74" s="1">
        <v>73</v>
      </c>
      <c r="B74" s="14" t="s">
        <v>89</v>
      </c>
      <c r="C74" s="5">
        <v>2</v>
      </c>
      <c r="D74" s="8">
        <v>5.9761490000000004</v>
      </c>
      <c r="E74" s="1">
        <v>-20.845420000000001</v>
      </c>
      <c r="F74" s="1">
        <v>-17.581068999999999</v>
      </c>
      <c r="G74" s="1">
        <v>-14.740869999999999</v>
      </c>
      <c r="H74" s="1">
        <v>-16.667349000000002</v>
      </c>
      <c r="I74">
        <v>-16.737404999999999</v>
      </c>
      <c r="J74">
        <f t="shared" si="12"/>
        <v>7.4926499999999976</v>
      </c>
      <c r="K74">
        <f t="shared" si="13"/>
        <v>7.2912120000000016</v>
      </c>
      <c r="L74">
        <f t="shared" si="14"/>
        <v>6.3564430000000005</v>
      </c>
      <c r="M74">
        <f t="shared" si="15"/>
        <v>5.9961529999999996</v>
      </c>
      <c r="N74">
        <f t="shared" si="16"/>
        <v>6.0198490000000007</v>
      </c>
    </row>
    <row r="75" spans="1:14" x14ac:dyDescent="0.2">
      <c r="A75" s="1">
        <v>74</v>
      </c>
      <c r="B75" s="14" t="s">
        <v>90</v>
      </c>
      <c r="C75" s="5">
        <v>2</v>
      </c>
      <c r="D75" s="8">
        <v>6.1032060000000001</v>
      </c>
      <c r="E75" s="1">
        <v>-20.656409</v>
      </c>
      <c r="F75" s="1">
        <v>-17.717078000000001</v>
      </c>
      <c r="G75" s="1">
        <v>-13.912881</v>
      </c>
      <c r="H75" s="1">
        <v>-15.319819000000001</v>
      </c>
      <c r="I75">
        <v>-15.127196</v>
      </c>
      <c r="J75">
        <f t="shared" si="12"/>
        <v>7.6816609999999983</v>
      </c>
      <c r="K75">
        <f t="shared" si="13"/>
        <v>7.1552030000000002</v>
      </c>
      <c r="L75">
        <f t="shared" si="14"/>
        <v>7.1844319999999993</v>
      </c>
      <c r="M75">
        <f t="shared" si="15"/>
        <v>7.3436830000000004</v>
      </c>
      <c r="N75">
        <f t="shared" si="16"/>
        <v>7.630058</v>
      </c>
    </row>
    <row r="76" spans="1:14" x14ac:dyDescent="0.2">
      <c r="A76" s="1">
        <v>75</v>
      </c>
      <c r="B76" s="14" t="s">
        <v>91</v>
      </c>
      <c r="C76" s="5">
        <v>2</v>
      </c>
      <c r="D76" s="8">
        <v>3.6270739999999999</v>
      </c>
      <c r="E76" s="1">
        <v>-23.680997000000001</v>
      </c>
      <c r="F76" s="1">
        <v>-20.591577000000001</v>
      </c>
      <c r="G76" s="1">
        <v>-16.449643999999999</v>
      </c>
      <c r="H76" s="1">
        <v>-17.652612999999999</v>
      </c>
      <c r="I76">
        <v>-17.46698</v>
      </c>
      <c r="J76">
        <f t="shared" si="12"/>
        <v>4.6570729999999969</v>
      </c>
      <c r="K76">
        <f t="shared" si="13"/>
        <v>4.2807040000000001</v>
      </c>
      <c r="L76">
        <f t="shared" si="14"/>
        <v>4.6476690000000005</v>
      </c>
      <c r="M76">
        <f t="shared" si="15"/>
        <v>5.0108890000000024</v>
      </c>
      <c r="N76">
        <f t="shared" si="16"/>
        <v>5.2902740000000001</v>
      </c>
    </row>
    <row r="77" spans="1:14" x14ac:dyDescent="0.2">
      <c r="A77" s="1">
        <v>76</v>
      </c>
      <c r="B77" s="14" t="s">
        <v>92</v>
      </c>
      <c r="C77" s="5">
        <v>2</v>
      </c>
      <c r="D77" s="8">
        <v>5.7477600000000004</v>
      </c>
      <c r="E77" s="1">
        <v>-24.227817999999999</v>
      </c>
      <c r="F77" s="1">
        <v>-21.693321999999998</v>
      </c>
      <c r="G77" s="1">
        <v>-19.369734999999999</v>
      </c>
      <c r="H77" s="1">
        <v>-21.028600999999998</v>
      </c>
      <c r="I77">
        <v>-21.119620000000001</v>
      </c>
      <c r="J77">
        <f t="shared" si="12"/>
        <v>4.1102519999999991</v>
      </c>
      <c r="K77">
        <f t="shared" si="13"/>
        <v>3.1789590000000025</v>
      </c>
      <c r="L77">
        <f t="shared" si="14"/>
        <v>1.7275780000000012</v>
      </c>
      <c r="M77">
        <f t="shared" si="15"/>
        <v>1.6349010000000028</v>
      </c>
      <c r="N77">
        <f t="shared" si="16"/>
        <v>1.6376339999999985</v>
      </c>
    </row>
    <row r="78" spans="1:14" x14ac:dyDescent="0.2">
      <c r="A78" s="1">
        <v>77</v>
      </c>
      <c r="B78" s="14" t="s">
        <v>93</v>
      </c>
      <c r="C78" s="5">
        <v>2</v>
      </c>
      <c r="D78" s="8">
        <v>5.599844</v>
      </c>
      <c r="E78" s="1">
        <v>-24.403559000000001</v>
      </c>
      <c r="F78" s="1">
        <v>-20.850505999999999</v>
      </c>
      <c r="G78" s="1">
        <v>-17.602938999999999</v>
      </c>
      <c r="H78" s="1">
        <v>-19.668066</v>
      </c>
      <c r="I78">
        <v>-19.787077</v>
      </c>
      <c r="J78">
        <f t="shared" si="12"/>
        <v>3.934510999999997</v>
      </c>
      <c r="K78">
        <f t="shared" si="13"/>
        <v>4.0217750000000017</v>
      </c>
      <c r="L78">
        <f t="shared" si="14"/>
        <v>3.4943740000000005</v>
      </c>
      <c r="M78">
        <f t="shared" si="15"/>
        <v>2.9954360000000015</v>
      </c>
      <c r="N78">
        <f t="shared" si="16"/>
        <v>2.9701769999999996</v>
      </c>
    </row>
    <row r="79" spans="1:14" x14ac:dyDescent="0.2">
      <c r="A79" s="1">
        <v>78</v>
      </c>
      <c r="B79" s="14" t="s">
        <v>94</v>
      </c>
      <c r="C79" s="5">
        <v>2</v>
      </c>
      <c r="D79" s="8">
        <v>5.6930649999999998</v>
      </c>
      <c r="E79" s="1">
        <v>-21.554296000000001</v>
      </c>
      <c r="F79" s="1">
        <v>-18.219498999999999</v>
      </c>
      <c r="G79" s="1">
        <v>-14.072445</v>
      </c>
      <c r="H79" s="1">
        <v>-15.270447000000001</v>
      </c>
      <c r="I79">
        <v>-15.294892000000001</v>
      </c>
      <c r="J79">
        <f t="shared" si="12"/>
        <v>6.7837739999999975</v>
      </c>
      <c r="K79">
        <f t="shared" si="13"/>
        <v>6.652782000000002</v>
      </c>
      <c r="L79">
        <f t="shared" si="14"/>
        <v>7.0248679999999997</v>
      </c>
      <c r="M79">
        <f t="shared" si="15"/>
        <v>7.3930550000000004</v>
      </c>
      <c r="N79">
        <f t="shared" si="16"/>
        <v>7.4623619999999988</v>
      </c>
    </row>
    <row r="80" spans="1:14" x14ac:dyDescent="0.2">
      <c r="A80" s="1">
        <v>79</v>
      </c>
      <c r="B80" s="14" t="s">
        <v>95</v>
      </c>
      <c r="C80" s="5">
        <v>2</v>
      </c>
      <c r="D80" s="8">
        <v>2.0999319999999999</v>
      </c>
      <c r="E80" s="1">
        <v>-25.020954</v>
      </c>
      <c r="F80" s="1">
        <v>-22.074217000000001</v>
      </c>
      <c r="G80" s="1">
        <v>-17.988212000000001</v>
      </c>
      <c r="H80" s="1">
        <v>-19.573001999999999</v>
      </c>
      <c r="I80">
        <v>-19.471295000000001</v>
      </c>
      <c r="J80">
        <f t="shared" si="12"/>
        <v>3.3171159999999986</v>
      </c>
      <c r="K80">
        <f t="shared" si="13"/>
        <v>2.7980640000000001</v>
      </c>
      <c r="L80">
        <f t="shared" si="14"/>
        <v>3.109100999999999</v>
      </c>
      <c r="M80">
        <f t="shared" si="15"/>
        <v>3.0905000000000022</v>
      </c>
      <c r="N80">
        <f t="shared" si="16"/>
        <v>3.2859589999999983</v>
      </c>
    </row>
    <row r="81" spans="1:14" x14ac:dyDescent="0.2">
      <c r="A81" s="1">
        <v>80</v>
      </c>
      <c r="B81" s="14" t="s">
        <v>96</v>
      </c>
      <c r="C81" s="5">
        <v>2</v>
      </c>
      <c r="D81" s="8">
        <v>4.0776050000000001</v>
      </c>
      <c r="E81" s="1">
        <v>-26.970559999999999</v>
      </c>
      <c r="F81" s="1">
        <v>-23.979751</v>
      </c>
      <c r="G81" s="1">
        <v>-20.150153</v>
      </c>
      <c r="H81" s="1">
        <v>-21.469185</v>
      </c>
      <c r="I81">
        <v>-21.490687999999999</v>
      </c>
      <c r="J81">
        <f t="shared" si="12"/>
        <v>1.3675099999999993</v>
      </c>
      <c r="K81">
        <f t="shared" si="13"/>
        <v>0.89253000000000071</v>
      </c>
      <c r="L81">
        <f t="shared" si="14"/>
        <v>0.94716000000000022</v>
      </c>
      <c r="M81">
        <f t="shared" si="15"/>
        <v>1.1943170000000016</v>
      </c>
      <c r="N81">
        <f t="shared" si="16"/>
        <v>1.266566000000001</v>
      </c>
    </row>
    <row r="82" spans="1:14" x14ac:dyDescent="0.2">
      <c r="A82" s="1">
        <v>81</v>
      </c>
      <c r="B82" s="14" t="s">
        <v>97</v>
      </c>
      <c r="C82" s="5">
        <v>2</v>
      </c>
      <c r="D82" s="8">
        <v>1.927449</v>
      </c>
      <c r="E82" s="1">
        <v>-21.610610999999999</v>
      </c>
      <c r="F82" s="1">
        <v>-19.199338999999998</v>
      </c>
      <c r="G82" s="1">
        <v>-15.522762999999999</v>
      </c>
      <c r="H82" s="1">
        <v>-17.232102000000001</v>
      </c>
      <c r="I82">
        <v>-17.207398999999999</v>
      </c>
      <c r="J82">
        <f t="shared" si="12"/>
        <v>6.7274589999999996</v>
      </c>
      <c r="K82">
        <f t="shared" si="13"/>
        <v>5.6729420000000026</v>
      </c>
      <c r="L82">
        <f t="shared" si="14"/>
        <v>5.5745500000000003</v>
      </c>
      <c r="M82">
        <f t="shared" si="15"/>
        <v>5.4314</v>
      </c>
      <c r="N82">
        <f t="shared" si="16"/>
        <v>5.5498550000000009</v>
      </c>
    </row>
    <row r="83" spans="1:14" x14ac:dyDescent="0.2">
      <c r="A83" s="1">
        <v>82</v>
      </c>
      <c r="B83" s="14" t="s">
        <v>98</v>
      </c>
      <c r="C83" s="5">
        <v>2</v>
      </c>
      <c r="D83" s="8">
        <v>2.6080930000000002</v>
      </c>
      <c r="E83" s="1">
        <v>-22.576716999999999</v>
      </c>
      <c r="F83" s="1">
        <v>-20.189558999999999</v>
      </c>
      <c r="G83" s="1">
        <v>-15.772157</v>
      </c>
      <c r="H83" s="1">
        <v>-17.184479</v>
      </c>
      <c r="I83">
        <v>-17.119638999999999</v>
      </c>
      <c r="J83">
        <f t="shared" si="12"/>
        <v>5.7613529999999997</v>
      </c>
      <c r="K83">
        <f t="shared" si="13"/>
        <v>4.6827220000000018</v>
      </c>
      <c r="L83">
        <f t="shared" si="14"/>
        <v>5.3251559999999998</v>
      </c>
      <c r="M83">
        <f t="shared" si="15"/>
        <v>5.4790230000000015</v>
      </c>
      <c r="N83">
        <f t="shared" si="16"/>
        <v>5.6376150000000003</v>
      </c>
    </row>
    <row r="84" spans="1:14" x14ac:dyDescent="0.2">
      <c r="A84" s="1">
        <v>83</v>
      </c>
      <c r="B84" s="14" t="s">
        <v>99</v>
      </c>
      <c r="C84" s="5">
        <v>2</v>
      </c>
      <c r="D84" s="8">
        <v>4.5892359999999996</v>
      </c>
      <c r="E84" s="1">
        <v>-21.976472999999999</v>
      </c>
      <c r="F84" s="1">
        <v>-20.077438999999998</v>
      </c>
      <c r="G84" s="1">
        <v>-18.501812000000001</v>
      </c>
      <c r="H84" s="1">
        <v>-20.655602999999999</v>
      </c>
      <c r="I84">
        <v>-20.757207000000001</v>
      </c>
      <c r="J84">
        <f t="shared" si="12"/>
        <v>6.3615969999999997</v>
      </c>
      <c r="K84">
        <f t="shared" si="13"/>
        <v>4.7948420000000027</v>
      </c>
      <c r="L84">
        <f t="shared" si="14"/>
        <v>2.5955009999999987</v>
      </c>
      <c r="M84">
        <f t="shared" si="15"/>
        <v>2.0078990000000019</v>
      </c>
      <c r="N84">
        <f t="shared" si="16"/>
        <v>2.0000469999999986</v>
      </c>
    </row>
    <row r="85" spans="1:14" x14ac:dyDescent="0.2">
      <c r="A85" s="1">
        <v>84</v>
      </c>
      <c r="B85" s="14" t="s">
        <v>100</v>
      </c>
      <c r="C85" s="5">
        <v>2</v>
      </c>
      <c r="D85" s="8">
        <v>6.2900840000000002</v>
      </c>
      <c r="E85" s="1">
        <v>-25.738142</v>
      </c>
      <c r="F85" s="1">
        <v>-23.438158999999999</v>
      </c>
      <c r="G85" s="1">
        <v>-20.885424</v>
      </c>
      <c r="H85" s="1">
        <v>-22.570028000000001</v>
      </c>
      <c r="I85">
        <v>-22.676447</v>
      </c>
      <c r="J85">
        <f t="shared" si="12"/>
        <v>2.5999279999999985</v>
      </c>
      <c r="K85">
        <f t="shared" si="13"/>
        <v>1.4341220000000021</v>
      </c>
      <c r="L85">
        <f t="shared" si="14"/>
        <v>0.21188899999999933</v>
      </c>
      <c r="M85">
        <f t="shared" si="15"/>
        <v>9.3474000000000501E-2</v>
      </c>
      <c r="N85">
        <f t="shared" si="16"/>
        <v>8.0807000000000073E-2</v>
      </c>
    </row>
    <row r="86" spans="1:14" x14ac:dyDescent="0.2">
      <c r="A86" s="1">
        <v>85</v>
      </c>
      <c r="B86" s="14" t="s">
        <v>101</v>
      </c>
      <c r="C86" s="5">
        <v>2</v>
      </c>
      <c r="D86" s="8">
        <v>5.5034429999999999</v>
      </c>
      <c r="E86" s="1">
        <v>-25.738142</v>
      </c>
      <c r="F86" s="1">
        <v>-23.438158999999999</v>
      </c>
      <c r="G86" s="1">
        <v>-20.885424</v>
      </c>
      <c r="H86" s="1">
        <v>-22.570028000000001</v>
      </c>
      <c r="I86">
        <v>-22.676447</v>
      </c>
      <c r="J86">
        <f t="shared" si="12"/>
        <v>2.5999279999999985</v>
      </c>
      <c r="K86">
        <f t="shared" si="13"/>
        <v>1.4341220000000021</v>
      </c>
      <c r="L86">
        <f t="shared" si="14"/>
        <v>0.21188899999999933</v>
      </c>
      <c r="M86">
        <f t="shared" si="15"/>
        <v>9.3474000000000501E-2</v>
      </c>
      <c r="N86">
        <f t="shared" si="16"/>
        <v>8.0807000000000073E-2</v>
      </c>
    </row>
    <row r="87" spans="1:14" x14ac:dyDescent="0.2">
      <c r="A87" s="1">
        <v>86</v>
      </c>
      <c r="B87" s="14" t="s">
        <v>102</v>
      </c>
      <c r="C87" s="5">
        <v>2</v>
      </c>
      <c r="D87" s="8">
        <v>2.5403169999999999</v>
      </c>
      <c r="E87" s="1">
        <v>-25.893833000000001</v>
      </c>
      <c r="F87" s="1">
        <v>-22.987622999999999</v>
      </c>
      <c r="G87" s="1">
        <v>-18.881259</v>
      </c>
      <c r="H87" s="1">
        <v>-20.274978999999998</v>
      </c>
      <c r="I87">
        <v>-20.405598000000001</v>
      </c>
      <c r="J87">
        <f t="shared" si="12"/>
        <v>2.4442369999999976</v>
      </c>
      <c r="K87">
        <f t="shared" si="13"/>
        <v>1.8846580000000017</v>
      </c>
      <c r="L87">
        <f t="shared" si="14"/>
        <v>2.2160539999999997</v>
      </c>
      <c r="M87">
        <f t="shared" si="15"/>
        <v>2.3885230000000028</v>
      </c>
      <c r="N87">
        <f t="shared" si="16"/>
        <v>2.3516559999999984</v>
      </c>
    </row>
    <row r="88" spans="1:14" x14ac:dyDescent="0.2">
      <c r="A88" s="1">
        <v>87</v>
      </c>
      <c r="B88" s="14" t="s">
        <v>103</v>
      </c>
      <c r="C88" s="5">
        <v>2</v>
      </c>
      <c r="D88" s="8">
        <v>5.505852</v>
      </c>
      <c r="E88" s="1">
        <v>-21.799503999999999</v>
      </c>
      <c r="F88" s="1">
        <v>-19.059508000000001</v>
      </c>
      <c r="G88" s="1">
        <v>-15.443887</v>
      </c>
      <c r="H88" s="1">
        <v>-16.703216000000001</v>
      </c>
      <c r="I88">
        <v>-16.606922000000001</v>
      </c>
      <c r="J88">
        <f t="shared" si="12"/>
        <v>6.5385659999999994</v>
      </c>
      <c r="K88">
        <f t="shared" si="13"/>
        <v>5.812773</v>
      </c>
      <c r="L88">
        <f t="shared" si="14"/>
        <v>5.6534259999999996</v>
      </c>
      <c r="M88">
        <f t="shared" si="15"/>
        <v>5.960286</v>
      </c>
      <c r="N88">
        <f t="shared" si="16"/>
        <v>6.1503319999999988</v>
      </c>
    </row>
    <row r="89" spans="1:14" x14ac:dyDescent="0.2">
      <c r="A89" s="1">
        <v>88</v>
      </c>
      <c r="B89" s="14" t="s">
        <v>104</v>
      </c>
      <c r="C89" s="5">
        <v>2</v>
      </c>
      <c r="D89" s="8">
        <v>3.5991050000000002</v>
      </c>
      <c r="E89" s="1">
        <v>-26.970559999999999</v>
      </c>
      <c r="F89" s="1">
        <v>-23.979751</v>
      </c>
      <c r="G89" s="1">
        <v>-20.150153</v>
      </c>
      <c r="H89" s="1">
        <v>-21.469185</v>
      </c>
      <c r="I89">
        <v>-21.490687999999999</v>
      </c>
      <c r="J89">
        <f t="shared" si="12"/>
        <v>1.3675099999999993</v>
      </c>
      <c r="K89">
        <f t="shared" si="13"/>
        <v>0.89253000000000071</v>
      </c>
      <c r="L89">
        <f t="shared" si="14"/>
        <v>0.94716000000000022</v>
      </c>
      <c r="M89">
        <f t="shared" si="15"/>
        <v>1.1943170000000016</v>
      </c>
      <c r="N89">
        <f t="shared" si="16"/>
        <v>1.266566000000001</v>
      </c>
    </row>
    <row r="90" spans="1:14" x14ac:dyDescent="0.2">
      <c r="A90" s="1">
        <v>89</v>
      </c>
      <c r="B90" s="14" t="s">
        <v>105</v>
      </c>
      <c r="C90" s="5">
        <v>2</v>
      </c>
      <c r="D90" s="8">
        <v>3.5047480000000002</v>
      </c>
      <c r="E90" s="1">
        <v>-22.018549</v>
      </c>
      <c r="F90" s="1">
        <v>-19.216795999999999</v>
      </c>
      <c r="G90" s="1">
        <v>-14.990205</v>
      </c>
      <c r="H90" s="1">
        <v>-16.174323000000001</v>
      </c>
      <c r="I90">
        <v>-16.025327999999998</v>
      </c>
      <c r="J90">
        <f t="shared" si="12"/>
        <v>6.3195209999999982</v>
      </c>
      <c r="K90">
        <f t="shared" si="13"/>
        <v>5.6554850000000023</v>
      </c>
      <c r="L90">
        <f t="shared" si="14"/>
        <v>6.1071080000000002</v>
      </c>
      <c r="M90">
        <f t="shared" si="15"/>
        <v>6.489179</v>
      </c>
      <c r="N90">
        <f t="shared" si="16"/>
        <v>6.7319260000000014</v>
      </c>
    </row>
    <row r="91" spans="1:14" x14ac:dyDescent="0.2">
      <c r="A91" s="1">
        <v>90</v>
      </c>
      <c r="B91" s="14" t="s">
        <v>106</v>
      </c>
      <c r="C91" s="5">
        <v>2</v>
      </c>
      <c r="D91" s="8">
        <v>2.9448599999999998</v>
      </c>
      <c r="E91" s="1">
        <v>-21.990997</v>
      </c>
      <c r="F91" s="1">
        <v>-19.806905</v>
      </c>
      <c r="G91" s="1">
        <v>-15.581614</v>
      </c>
      <c r="H91" s="1">
        <v>-16.900393999999999</v>
      </c>
      <c r="I91">
        <v>-16.763078</v>
      </c>
      <c r="J91">
        <f t="shared" si="12"/>
        <v>6.3470729999999982</v>
      </c>
      <c r="K91">
        <f t="shared" si="13"/>
        <v>5.0653760000000005</v>
      </c>
      <c r="L91">
        <f t="shared" si="14"/>
        <v>5.5156989999999997</v>
      </c>
      <c r="M91">
        <f t="shared" si="15"/>
        <v>5.7631080000000026</v>
      </c>
      <c r="N91">
        <f t="shared" si="16"/>
        <v>5.9941759999999995</v>
      </c>
    </row>
    <row r="92" spans="1:14" x14ac:dyDescent="0.2">
      <c r="A92" s="1">
        <v>91</v>
      </c>
      <c r="B92" s="14" t="s">
        <v>107</v>
      </c>
      <c r="C92" s="5">
        <v>2</v>
      </c>
      <c r="D92" s="8">
        <v>1.7398979999999999</v>
      </c>
      <c r="E92" s="1">
        <v>-26.740912999999999</v>
      </c>
      <c r="F92" s="1">
        <v>-23.296906</v>
      </c>
      <c r="G92" s="1">
        <v>-19.218852999999999</v>
      </c>
      <c r="H92" s="1">
        <v>-20.625726</v>
      </c>
      <c r="I92">
        <v>-20.805489999999999</v>
      </c>
      <c r="J92">
        <f t="shared" si="12"/>
        <v>1.5971569999999993</v>
      </c>
      <c r="K92">
        <f t="shared" si="13"/>
        <v>1.5753750000000011</v>
      </c>
      <c r="L92">
        <f t="shared" si="14"/>
        <v>1.8784600000000005</v>
      </c>
      <c r="M92">
        <f t="shared" si="15"/>
        <v>2.0377760000000009</v>
      </c>
      <c r="N92">
        <f t="shared" si="16"/>
        <v>1.9517640000000007</v>
      </c>
    </row>
    <row r="93" spans="1:14" x14ac:dyDescent="0.2">
      <c r="A93" s="1">
        <v>92</v>
      </c>
      <c r="B93" s="14" t="s">
        <v>108</v>
      </c>
      <c r="C93" s="5">
        <v>2</v>
      </c>
      <c r="D93" s="8">
        <v>4.0337940000000003</v>
      </c>
      <c r="E93" s="1">
        <v>-23.208508999999999</v>
      </c>
      <c r="F93" s="1">
        <v>-20.698644999999999</v>
      </c>
      <c r="G93" s="1">
        <v>-17.628578000000001</v>
      </c>
      <c r="H93" s="1">
        <v>-19.187002</v>
      </c>
      <c r="I93">
        <v>-19.402076999999998</v>
      </c>
      <c r="J93">
        <f t="shared" si="12"/>
        <v>5.1295609999999989</v>
      </c>
      <c r="K93">
        <f t="shared" si="13"/>
        <v>4.1736360000000019</v>
      </c>
      <c r="L93">
        <f t="shared" si="14"/>
        <v>3.4687349999999988</v>
      </c>
      <c r="M93">
        <f t="shared" si="15"/>
        <v>3.4765000000000015</v>
      </c>
      <c r="N93">
        <f t="shared" si="16"/>
        <v>3.3551770000000012</v>
      </c>
    </row>
    <row r="94" spans="1:14" x14ac:dyDescent="0.2">
      <c r="A94" s="1">
        <v>93</v>
      </c>
      <c r="B94" s="14" t="s">
        <v>109</v>
      </c>
      <c r="C94" s="5">
        <v>2</v>
      </c>
      <c r="D94" s="8">
        <v>5.5031179999999997</v>
      </c>
      <c r="E94" s="1">
        <v>-20.741990000000001</v>
      </c>
      <c r="F94" s="1">
        <v>-19.714625000000002</v>
      </c>
      <c r="G94" s="1">
        <v>-18.066800000000001</v>
      </c>
      <c r="H94" s="1">
        <v>-19.770658999999998</v>
      </c>
      <c r="I94">
        <v>-19.863472999999999</v>
      </c>
      <c r="J94">
        <f t="shared" si="12"/>
        <v>7.5960799999999971</v>
      </c>
      <c r="K94">
        <f t="shared" si="13"/>
        <v>5.1576559999999994</v>
      </c>
      <c r="L94">
        <f t="shared" si="14"/>
        <v>3.0305129999999991</v>
      </c>
      <c r="M94">
        <f t="shared" si="15"/>
        <v>2.8928430000000027</v>
      </c>
      <c r="N94">
        <f t="shared" si="16"/>
        <v>2.8937810000000006</v>
      </c>
    </row>
    <row r="95" spans="1:14" x14ac:dyDescent="0.2">
      <c r="A95" s="1">
        <v>94</v>
      </c>
      <c r="B95" s="14" t="s">
        <v>110</v>
      </c>
      <c r="C95" s="5">
        <v>2</v>
      </c>
      <c r="D95" s="8">
        <v>2.2684199999999999</v>
      </c>
      <c r="E95" s="1">
        <v>-25.020954</v>
      </c>
      <c r="F95" s="1">
        <v>-22.074217000000001</v>
      </c>
      <c r="G95" s="1">
        <v>-17.988212000000001</v>
      </c>
      <c r="H95" s="1">
        <v>-19.573001999999999</v>
      </c>
      <c r="I95">
        <v>-19.471295000000001</v>
      </c>
      <c r="J95">
        <f t="shared" si="12"/>
        <v>3.3171159999999986</v>
      </c>
      <c r="K95">
        <f t="shared" si="13"/>
        <v>2.7980640000000001</v>
      </c>
      <c r="L95">
        <f t="shared" si="14"/>
        <v>3.109100999999999</v>
      </c>
      <c r="M95">
        <f t="shared" si="15"/>
        <v>3.0905000000000022</v>
      </c>
      <c r="N95">
        <f t="shared" si="16"/>
        <v>3.2859589999999983</v>
      </c>
    </row>
    <row r="96" spans="1:14" x14ac:dyDescent="0.2">
      <c r="A96" s="1">
        <v>95</v>
      </c>
      <c r="B96" s="14" t="s">
        <v>111</v>
      </c>
      <c r="C96" s="5">
        <v>2</v>
      </c>
      <c r="D96" s="8">
        <v>3.7658010000000002</v>
      </c>
      <c r="E96" s="1">
        <v>-23.438155999999999</v>
      </c>
      <c r="F96" s="1">
        <v>-21.381488999999998</v>
      </c>
      <c r="G96" s="1">
        <v>-18.559878999999999</v>
      </c>
      <c r="H96" s="1">
        <v>-20.030460999999999</v>
      </c>
      <c r="I96">
        <v>-20.087275999999999</v>
      </c>
      <c r="J96">
        <f t="shared" si="12"/>
        <v>4.899913999999999</v>
      </c>
      <c r="K96">
        <f t="shared" si="13"/>
        <v>3.4907920000000026</v>
      </c>
      <c r="L96">
        <f t="shared" si="14"/>
        <v>2.5374340000000011</v>
      </c>
      <c r="M96">
        <f t="shared" si="15"/>
        <v>2.6330410000000022</v>
      </c>
      <c r="N96">
        <f t="shared" si="16"/>
        <v>2.6699780000000004</v>
      </c>
    </row>
    <row r="97" spans="1:14" x14ac:dyDescent="0.2">
      <c r="A97" s="1">
        <v>96</v>
      </c>
      <c r="B97" s="14" t="s">
        <v>112</v>
      </c>
      <c r="C97" s="5">
        <v>2</v>
      </c>
      <c r="D97" s="8">
        <v>5.8197000000000001</v>
      </c>
      <c r="E97" s="1">
        <v>-21.373601000000001</v>
      </c>
      <c r="F97" s="1">
        <v>-18.583195</v>
      </c>
      <c r="G97" s="1">
        <v>-15.196342</v>
      </c>
      <c r="H97" s="1">
        <v>-16.995459</v>
      </c>
      <c r="I97">
        <v>-17.078859000000001</v>
      </c>
      <c r="J97">
        <f t="shared" si="12"/>
        <v>6.9644689999999976</v>
      </c>
      <c r="K97">
        <f t="shared" si="13"/>
        <v>6.2890860000000011</v>
      </c>
      <c r="L97">
        <f t="shared" si="14"/>
        <v>5.9009710000000002</v>
      </c>
      <c r="M97">
        <f t="shared" si="15"/>
        <v>5.6680430000000008</v>
      </c>
      <c r="N97">
        <f t="shared" si="16"/>
        <v>5.6783949999999983</v>
      </c>
    </row>
    <row r="98" spans="1:14" x14ac:dyDescent="0.2">
      <c r="A98" s="1">
        <v>97</v>
      </c>
      <c r="B98" s="14" t="s">
        <v>113</v>
      </c>
      <c r="C98" s="5">
        <v>2</v>
      </c>
      <c r="D98" s="8">
        <v>3.369856</v>
      </c>
      <c r="E98" s="1">
        <v>-23.653444</v>
      </c>
      <c r="F98" s="1">
        <v>-21.181685999999999</v>
      </c>
      <c r="G98" s="1">
        <v>-17.041052000000001</v>
      </c>
      <c r="H98" s="1">
        <v>-18.378685000000001</v>
      </c>
      <c r="I98">
        <v>-18.204730000000001</v>
      </c>
      <c r="J98">
        <f t="shared" si="12"/>
        <v>4.684625999999998</v>
      </c>
      <c r="K98">
        <f t="shared" si="13"/>
        <v>3.6905950000000018</v>
      </c>
      <c r="L98">
        <f t="shared" si="14"/>
        <v>4.0562609999999992</v>
      </c>
      <c r="M98">
        <f t="shared" si="15"/>
        <v>4.2848170000000003</v>
      </c>
      <c r="N98">
        <f t="shared" si="16"/>
        <v>4.5525239999999982</v>
      </c>
    </row>
    <row r="99" spans="1:14" x14ac:dyDescent="0.2">
      <c r="A99" s="1">
        <v>98</v>
      </c>
      <c r="B99" s="14" t="s">
        <v>114</v>
      </c>
      <c r="C99" s="5">
        <v>2</v>
      </c>
      <c r="D99" s="8">
        <v>5.690995</v>
      </c>
      <c r="E99" s="1">
        <v>-22.028790000000001</v>
      </c>
      <c r="F99" s="1">
        <v>-20.648672999999999</v>
      </c>
      <c r="G99" s="1">
        <v>-18.525123000000001</v>
      </c>
      <c r="H99" s="1">
        <v>-20.072846999999999</v>
      </c>
      <c r="I99">
        <v>-20.079993999999999</v>
      </c>
      <c r="J99">
        <f t="shared" si="12"/>
        <v>6.3092799999999976</v>
      </c>
      <c r="K99">
        <f t="shared" si="13"/>
        <v>4.2236080000000022</v>
      </c>
      <c r="L99">
        <f t="shared" si="14"/>
        <v>2.5721899999999991</v>
      </c>
      <c r="M99">
        <f t="shared" si="15"/>
        <v>2.5906550000000017</v>
      </c>
      <c r="N99">
        <f t="shared" si="16"/>
        <v>2.6772600000000004</v>
      </c>
    </row>
    <row r="100" spans="1:14" x14ac:dyDescent="0.2">
      <c r="A100" s="1">
        <v>99</v>
      </c>
      <c r="B100" s="14" t="s">
        <v>115</v>
      </c>
      <c r="C100" s="5">
        <v>2</v>
      </c>
      <c r="D100" s="8">
        <v>5.2351359999999998</v>
      </c>
      <c r="E100" s="1">
        <v>-21.707595999999999</v>
      </c>
      <c r="F100" s="1">
        <v>-20.363468000000001</v>
      </c>
      <c r="G100" s="1">
        <v>-17.617277999999999</v>
      </c>
      <c r="H100" s="1">
        <v>-18.638380000000002</v>
      </c>
      <c r="I100">
        <v>-18.736260000000001</v>
      </c>
      <c r="J100">
        <f t="shared" si="12"/>
        <v>6.6304739999999995</v>
      </c>
      <c r="K100">
        <f t="shared" si="13"/>
        <v>4.508813</v>
      </c>
      <c r="L100">
        <f t="shared" si="14"/>
        <v>3.4800350000000009</v>
      </c>
      <c r="M100">
        <f t="shared" si="15"/>
        <v>4.0251219999999996</v>
      </c>
      <c r="N100">
        <f t="shared" si="16"/>
        <v>4.0209939999999982</v>
      </c>
    </row>
    <row r="101" spans="1:14" x14ac:dyDescent="0.2">
      <c r="A101" s="1">
        <v>100</v>
      </c>
      <c r="B101" s="14" t="s">
        <v>116</v>
      </c>
      <c r="C101" s="5">
        <v>2</v>
      </c>
      <c r="D101" s="8">
        <v>6.3073129999999997</v>
      </c>
      <c r="E101" s="1">
        <v>-21.774497</v>
      </c>
      <c r="F101" s="1">
        <v>-19.470493000000001</v>
      </c>
      <c r="G101" s="1">
        <v>-16.177371000000001</v>
      </c>
      <c r="H101" s="1">
        <v>-17.454566</v>
      </c>
      <c r="I101">
        <v>-17.373529000000001</v>
      </c>
      <c r="J101">
        <f t="shared" si="12"/>
        <v>6.5635729999999981</v>
      </c>
      <c r="K101">
        <f t="shared" si="13"/>
        <v>5.4017879999999998</v>
      </c>
      <c r="L101">
        <f t="shared" si="14"/>
        <v>4.9199419999999989</v>
      </c>
      <c r="M101">
        <f t="shared" si="15"/>
        <v>5.2089360000000013</v>
      </c>
      <c r="N101">
        <f t="shared" si="16"/>
        <v>5.3837249999999983</v>
      </c>
    </row>
    <row r="102" spans="1:14" x14ac:dyDescent="0.2">
      <c r="A102" s="1">
        <v>101</v>
      </c>
      <c r="B102" s="14" t="s">
        <v>117</v>
      </c>
      <c r="C102" s="5">
        <v>2</v>
      </c>
      <c r="D102" s="8">
        <v>3.7169180000000002</v>
      </c>
      <c r="E102" s="1">
        <v>-26.970559999999999</v>
      </c>
      <c r="F102" s="1">
        <v>-23.979751</v>
      </c>
      <c r="G102" s="1">
        <v>-20.150153</v>
      </c>
      <c r="H102" s="1">
        <v>-21.469185</v>
      </c>
      <c r="I102">
        <v>-21.490687999999999</v>
      </c>
      <c r="J102">
        <f t="shared" si="12"/>
        <v>1.3675099999999993</v>
      </c>
      <c r="K102">
        <f t="shared" si="13"/>
        <v>0.89253000000000071</v>
      </c>
      <c r="L102">
        <f t="shared" si="14"/>
        <v>0.94716000000000022</v>
      </c>
      <c r="M102">
        <f t="shared" si="15"/>
        <v>1.1943170000000016</v>
      </c>
      <c r="N102">
        <f t="shared" si="16"/>
        <v>1.266566000000001</v>
      </c>
    </row>
    <row r="103" spans="1:14" x14ac:dyDescent="0.2">
      <c r="A103" s="1">
        <v>102</v>
      </c>
      <c r="B103" s="14" t="s">
        <v>118</v>
      </c>
      <c r="C103" s="5">
        <v>2</v>
      </c>
      <c r="D103" s="8">
        <v>6.4379989999999996</v>
      </c>
      <c r="E103" s="1">
        <v>-23.959935999999999</v>
      </c>
      <c r="F103" s="1">
        <v>-20.146547999999999</v>
      </c>
      <c r="G103" s="1">
        <v>-15.328657</v>
      </c>
      <c r="H103" s="1">
        <v>-15.892436999999999</v>
      </c>
      <c r="I103">
        <v>-16.002074</v>
      </c>
      <c r="J103">
        <f t="shared" si="12"/>
        <v>4.3781339999999993</v>
      </c>
      <c r="K103">
        <f t="shared" si="13"/>
        <v>4.7257330000000017</v>
      </c>
      <c r="L103">
        <f t="shared" si="14"/>
        <v>5.768656</v>
      </c>
      <c r="M103">
        <f t="shared" si="15"/>
        <v>6.7710650000000019</v>
      </c>
      <c r="N103">
        <f t="shared" si="16"/>
        <v>6.7551799999999993</v>
      </c>
    </row>
    <row r="104" spans="1:14" x14ac:dyDescent="0.2">
      <c r="A104" s="1">
        <v>103</v>
      </c>
      <c r="B104" s="14" t="s">
        <v>119</v>
      </c>
      <c r="C104" s="5">
        <v>2</v>
      </c>
      <c r="D104" s="8">
        <v>3.2902999999999998</v>
      </c>
      <c r="E104" s="1">
        <v>-21.535126999999999</v>
      </c>
      <c r="F104" s="1">
        <v>-20.095518999999999</v>
      </c>
      <c r="G104" s="1">
        <v>-16.685276000000002</v>
      </c>
      <c r="H104" s="1">
        <v>-18.315059999999999</v>
      </c>
      <c r="I104">
        <v>-18.215147999999999</v>
      </c>
      <c r="J104">
        <f t="shared" si="12"/>
        <v>6.8029429999999991</v>
      </c>
      <c r="K104">
        <f t="shared" si="13"/>
        <v>4.7767620000000015</v>
      </c>
      <c r="L104">
        <f t="shared" si="14"/>
        <v>4.412036999999998</v>
      </c>
      <c r="M104">
        <f t="shared" si="15"/>
        <v>4.3484420000000021</v>
      </c>
      <c r="N104">
        <f t="shared" si="16"/>
        <v>4.5421060000000004</v>
      </c>
    </row>
    <row r="105" spans="1:14" x14ac:dyDescent="0.2">
      <c r="A105" s="1">
        <v>104</v>
      </c>
      <c r="B105" s="14" t="s">
        <v>120</v>
      </c>
      <c r="C105" s="5">
        <v>2</v>
      </c>
      <c r="D105" s="8">
        <v>3.3511700000000002</v>
      </c>
      <c r="E105" s="1">
        <v>-24.805665999999999</v>
      </c>
      <c r="F105" s="1">
        <v>-22.27402</v>
      </c>
      <c r="G105" s="1">
        <v>-19.507038000000001</v>
      </c>
      <c r="H105" s="1">
        <v>-21.224778000000001</v>
      </c>
      <c r="I105">
        <v>-21.353840999999999</v>
      </c>
      <c r="J105">
        <f t="shared" si="12"/>
        <v>3.5324039999999997</v>
      </c>
      <c r="K105">
        <f t="shared" si="13"/>
        <v>2.5982610000000008</v>
      </c>
      <c r="L105">
        <f t="shared" si="14"/>
        <v>1.5902749999999983</v>
      </c>
      <c r="M105">
        <f t="shared" si="15"/>
        <v>1.4387240000000006</v>
      </c>
      <c r="N105">
        <f t="shared" si="16"/>
        <v>1.4034130000000005</v>
      </c>
    </row>
    <row r="106" spans="1:14" x14ac:dyDescent="0.2">
      <c r="A106" s="1">
        <v>105</v>
      </c>
      <c r="B106" s="14" t="s">
        <v>121</v>
      </c>
      <c r="C106" s="5">
        <v>2</v>
      </c>
      <c r="D106" s="8">
        <v>2.794851</v>
      </c>
      <c r="E106" s="1">
        <v>-25.048507000000001</v>
      </c>
      <c r="F106" s="1">
        <v>-21.484107000000002</v>
      </c>
      <c r="G106" s="1">
        <v>-17.396802999999998</v>
      </c>
      <c r="H106" s="1">
        <v>-18.84693</v>
      </c>
      <c r="I106">
        <v>-18.733546</v>
      </c>
      <c r="J106">
        <f t="shared" si="12"/>
        <v>3.2895629999999976</v>
      </c>
      <c r="K106">
        <f t="shared" si="13"/>
        <v>3.3881739999999994</v>
      </c>
      <c r="L106">
        <f t="shared" si="14"/>
        <v>3.7005100000000013</v>
      </c>
      <c r="M106">
        <f t="shared" si="15"/>
        <v>3.8165720000000007</v>
      </c>
      <c r="N106">
        <f t="shared" si="16"/>
        <v>4.0237079999999992</v>
      </c>
    </row>
    <row r="107" spans="1:14" x14ac:dyDescent="0.2">
      <c r="A107" s="1">
        <v>106</v>
      </c>
      <c r="B107" s="14" t="s">
        <v>122</v>
      </c>
      <c r="C107" s="5">
        <v>2</v>
      </c>
      <c r="D107" s="8">
        <v>3.9964680000000001</v>
      </c>
      <c r="E107" s="1">
        <v>-21.783581000000002</v>
      </c>
      <c r="F107" s="1">
        <v>-19.808664</v>
      </c>
      <c r="G107" s="1">
        <v>-17.153680999999999</v>
      </c>
      <c r="H107" s="1">
        <v>-18.640077999999999</v>
      </c>
      <c r="I107">
        <v>-18.767963999999999</v>
      </c>
      <c r="J107">
        <f t="shared" si="12"/>
        <v>6.5544889999999967</v>
      </c>
      <c r="K107">
        <f t="shared" si="13"/>
        <v>5.0636170000000007</v>
      </c>
      <c r="L107">
        <f t="shared" si="14"/>
        <v>3.9436320000000009</v>
      </c>
      <c r="M107">
        <f t="shared" si="15"/>
        <v>4.0234240000000021</v>
      </c>
      <c r="N107">
        <f t="shared" si="16"/>
        <v>3.9892900000000004</v>
      </c>
    </row>
    <row r="108" spans="1:14" x14ac:dyDescent="0.2">
      <c r="A108" s="1">
        <v>107</v>
      </c>
      <c r="B108" s="14" t="s">
        <v>123</v>
      </c>
      <c r="C108" s="5">
        <v>2</v>
      </c>
      <c r="D108" s="8">
        <v>2.99187</v>
      </c>
      <c r="E108" s="1">
        <v>-22.849478999999999</v>
      </c>
      <c r="F108" s="1">
        <v>-20.439457999999998</v>
      </c>
      <c r="G108" s="1">
        <v>-16.552191000000001</v>
      </c>
      <c r="H108" s="1">
        <v>-17.891176999999999</v>
      </c>
      <c r="I108">
        <v>-17.693919999999999</v>
      </c>
      <c r="J108">
        <f t="shared" si="12"/>
        <v>5.4885909999999996</v>
      </c>
      <c r="K108">
        <f t="shared" si="13"/>
        <v>4.4328230000000026</v>
      </c>
      <c r="L108">
        <f t="shared" si="14"/>
        <v>4.5451219999999992</v>
      </c>
      <c r="M108">
        <f t="shared" si="15"/>
        <v>4.7723250000000021</v>
      </c>
      <c r="N108">
        <f t="shared" si="16"/>
        <v>5.0633340000000011</v>
      </c>
    </row>
    <row r="109" spans="1:14" x14ac:dyDescent="0.2">
      <c r="A109" s="1">
        <v>108</v>
      </c>
      <c r="B109" s="14" t="s">
        <v>124</v>
      </c>
      <c r="C109" s="5">
        <v>2</v>
      </c>
      <c r="D109" s="8">
        <v>2.7725629999999999</v>
      </c>
      <c r="E109" s="1">
        <v>-25.048507000000001</v>
      </c>
      <c r="F109" s="1">
        <v>-21.484107000000002</v>
      </c>
      <c r="G109" s="1">
        <v>-17.396802999999998</v>
      </c>
      <c r="H109" s="1">
        <v>-18.84693</v>
      </c>
      <c r="I109">
        <v>-18.733546</v>
      </c>
      <c r="J109">
        <f t="shared" si="12"/>
        <v>3.2895629999999976</v>
      </c>
      <c r="K109">
        <f t="shared" si="13"/>
        <v>3.3881739999999994</v>
      </c>
      <c r="L109">
        <f t="shared" si="14"/>
        <v>3.7005100000000013</v>
      </c>
      <c r="M109">
        <f t="shared" si="15"/>
        <v>3.8165720000000007</v>
      </c>
      <c r="N109">
        <f t="shared" si="16"/>
        <v>4.0237079999999992</v>
      </c>
    </row>
    <row r="110" spans="1:14" x14ac:dyDescent="0.2">
      <c r="A110" s="1">
        <v>109</v>
      </c>
      <c r="B110" s="14" t="s">
        <v>125</v>
      </c>
      <c r="C110" s="5">
        <v>2</v>
      </c>
      <c r="D110" s="8">
        <v>3.677902</v>
      </c>
      <c r="E110" s="1">
        <v>-22.60427</v>
      </c>
      <c r="F110" s="1">
        <v>-19.599449</v>
      </c>
      <c r="G110" s="1">
        <v>-15.180749</v>
      </c>
      <c r="H110" s="1">
        <v>-16.458407999999999</v>
      </c>
      <c r="I110">
        <v>-16.381889999999999</v>
      </c>
      <c r="J110">
        <f t="shared" si="12"/>
        <v>5.7337999999999987</v>
      </c>
      <c r="K110">
        <f t="shared" si="13"/>
        <v>5.2728320000000011</v>
      </c>
      <c r="L110">
        <f t="shared" si="14"/>
        <v>5.9165639999999993</v>
      </c>
      <c r="M110">
        <f t="shared" si="15"/>
        <v>6.2050940000000026</v>
      </c>
      <c r="N110">
        <f t="shared" si="16"/>
        <v>6.3753640000000011</v>
      </c>
    </row>
    <row r="111" spans="1:14" x14ac:dyDescent="0.2">
      <c r="A111" s="1">
        <v>110</v>
      </c>
      <c r="B111" s="14" t="s">
        <v>126</v>
      </c>
      <c r="C111" s="5">
        <v>2</v>
      </c>
      <c r="D111" s="8">
        <v>3.3525040000000002</v>
      </c>
      <c r="E111" s="1">
        <v>-24.541886000000002</v>
      </c>
      <c r="F111" s="1">
        <v>-22.252257</v>
      </c>
      <c r="G111" s="1">
        <v>-18.374241000000001</v>
      </c>
      <c r="H111" s="1">
        <v>-19.669972999999999</v>
      </c>
      <c r="I111">
        <v>-19.765864000000001</v>
      </c>
      <c r="J111">
        <f t="shared" si="12"/>
        <v>3.7961839999999967</v>
      </c>
      <c r="K111">
        <f t="shared" si="13"/>
        <v>2.6200240000000008</v>
      </c>
      <c r="L111">
        <f t="shared" si="14"/>
        <v>2.7230719999999984</v>
      </c>
      <c r="M111">
        <f t="shared" si="15"/>
        <v>2.9935290000000023</v>
      </c>
      <c r="N111">
        <f t="shared" si="16"/>
        <v>2.9913899999999991</v>
      </c>
    </row>
    <row r="112" spans="1:14" x14ac:dyDescent="0.2">
      <c r="A112" s="1">
        <v>111</v>
      </c>
      <c r="B112" s="14" t="s">
        <v>127</v>
      </c>
      <c r="C112" s="5">
        <v>2</v>
      </c>
      <c r="D112" s="8">
        <v>4.8775240000000002</v>
      </c>
      <c r="E112" s="1">
        <v>-20.968575000000001</v>
      </c>
      <c r="F112" s="1">
        <v>-17.836845</v>
      </c>
      <c r="G112" s="1">
        <v>-13.881900999999999</v>
      </c>
      <c r="H112" s="1">
        <v>-14.986362</v>
      </c>
      <c r="I112">
        <v>-14.938330000000001</v>
      </c>
      <c r="J112">
        <f t="shared" si="12"/>
        <v>7.369494999999997</v>
      </c>
      <c r="K112">
        <f t="shared" si="13"/>
        <v>7.0354360000000007</v>
      </c>
      <c r="L112">
        <f t="shared" si="14"/>
        <v>7.2154120000000006</v>
      </c>
      <c r="M112">
        <f t="shared" si="15"/>
        <v>7.6771400000000014</v>
      </c>
      <c r="N112">
        <f t="shared" si="16"/>
        <v>7.8189239999999991</v>
      </c>
    </row>
    <row r="113" spans="1:14" x14ac:dyDescent="0.2">
      <c r="A113" s="1">
        <v>112</v>
      </c>
      <c r="B113" s="14" t="s">
        <v>128</v>
      </c>
      <c r="C113" s="5">
        <v>2</v>
      </c>
      <c r="D113" s="8">
        <v>3.7655129999999999</v>
      </c>
      <c r="E113" s="1">
        <v>-23.451350000000001</v>
      </c>
      <c r="F113" s="1">
        <v>-19.908732000000001</v>
      </c>
      <c r="G113" s="1">
        <v>-15.518343</v>
      </c>
      <c r="H113" s="1">
        <v>-16.809155000000001</v>
      </c>
      <c r="I113">
        <v>-16.781782</v>
      </c>
      <c r="J113">
        <f t="shared" si="12"/>
        <v>4.8867199999999968</v>
      </c>
      <c r="K113">
        <f t="shared" si="13"/>
        <v>4.9635490000000004</v>
      </c>
      <c r="L113">
        <f t="shared" si="14"/>
        <v>5.57897</v>
      </c>
      <c r="M113">
        <f t="shared" si="15"/>
        <v>5.8543470000000006</v>
      </c>
      <c r="N113">
        <f t="shared" si="16"/>
        <v>5.9754719999999999</v>
      </c>
    </row>
    <row r="114" spans="1:14" x14ac:dyDescent="0.2">
      <c r="A114" s="1">
        <v>113</v>
      </c>
      <c r="B114" s="14" t="s">
        <v>129</v>
      </c>
      <c r="C114" s="5">
        <v>2</v>
      </c>
      <c r="D114" s="8">
        <v>5.7898680000000002</v>
      </c>
      <c r="E114" s="1">
        <v>-24.403559000000001</v>
      </c>
      <c r="F114" s="1">
        <v>-20.850505999999999</v>
      </c>
      <c r="G114" s="1">
        <v>-17.602938999999999</v>
      </c>
      <c r="H114" s="1">
        <v>-19.668066</v>
      </c>
      <c r="I114">
        <v>-19.787077</v>
      </c>
      <c r="J114">
        <f t="shared" si="12"/>
        <v>3.934510999999997</v>
      </c>
      <c r="K114">
        <f t="shared" si="13"/>
        <v>4.0217750000000017</v>
      </c>
      <c r="L114">
        <f t="shared" si="14"/>
        <v>3.4943740000000005</v>
      </c>
      <c r="M114">
        <f t="shared" si="15"/>
        <v>2.9954360000000015</v>
      </c>
      <c r="N114">
        <f t="shared" si="16"/>
        <v>2.9701769999999996</v>
      </c>
    </row>
    <row r="115" spans="1:14" x14ac:dyDescent="0.2">
      <c r="A115" s="1">
        <v>114</v>
      </c>
      <c r="B115" s="14" t="s">
        <v>130</v>
      </c>
      <c r="C115" s="5">
        <v>2</v>
      </c>
      <c r="D115" s="8">
        <v>2.1021049999999999</v>
      </c>
      <c r="E115" s="1">
        <v>-25.893833000000001</v>
      </c>
      <c r="F115" s="1">
        <v>-22.987622999999999</v>
      </c>
      <c r="G115" s="1">
        <v>-18.881259</v>
      </c>
      <c r="H115" s="1">
        <v>-20.274978999999998</v>
      </c>
      <c r="I115">
        <v>-20.405598000000001</v>
      </c>
      <c r="J115">
        <f t="shared" si="12"/>
        <v>2.4442369999999976</v>
      </c>
      <c r="K115">
        <f t="shared" si="13"/>
        <v>1.8846580000000017</v>
      </c>
      <c r="L115">
        <f t="shared" si="14"/>
        <v>2.2160539999999997</v>
      </c>
      <c r="M115">
        <f t="shared" si="15"/>
        <v>2.3885230000000028</v>
      </c>
      <c r="N115">
        <f t="shared" si="16"/>
        <v>2.3516559999999984</v>
      </c>
    </row>
    <row r="116" spans="1:14" x14ac:dyDescent="0.2">
      <c r="A116" s="1">
        <v>115</v>
      </c>
      <c r="B116" s="14" t="s">
        <v>131</v>
      </c>
      <c r="C116" s="5">
        <v>2</v>
      </c>
      <c r="D116" s="8">
        <v>1.9031659999999999</v>
      </c>
      <c r="E116" s="1">
        <v>-26.139042</v>
      </c>
      <c r="F116" s="1">
        <v>-23.827632000000001</v>
      </c>
      <c r="G116" s="1">
        <v>-20.252700999999998</v>
      </c>
      <c r="H116" s="1">
        <v>-21.707747999999999</v>
      </c>
      <c r="I116">
        <v>-21.717628000000001</v>
      </c>
      <c r="J116">
        <f t="shared" si="12"/>
        <v>2.1990279999999984</v>
      </c>
      <c r="K116">
        <f t="shared" si="13"/>
        <v>1.0446489999999997</v>
      </c>
      <c r="L116">
        <f t="shared" si="14"/>
        <v>0.84461200000000147</v>
      </c>
      <c r="M116">
        <f t="shared" si="15"/>
        <v>0.95575400000000243</v>
      </c>
      <c r="N116">
        <f t="shared" si="16"/>
        <v>1.0396259999999984</v>
      </c>
    </row>
    <row r="117" spans="1:14" x14ac:dyDescent="0.2">
      <c r="A117" s="1">
        <v>116</v>
      </c>
      <c r="B117" s="14" t="s">
        <v>132</v>
      </c>
      <c r="C117" s="5">
        <v>2</v>
      </c>
      <c r="D117" s="8">
        <v>3.4795750000000001</v>
      </c>
      <c r="E117" s="1">
        <v>-22.606638</v>
      </c>
      <c r="F117" s="1">
        <v>-21.229371</v>
      </c>
      <c r="G117" s="1">
        <v>-18.662426</v>
      </c>
      <c r="H117" s="1">
        <v>-20.269024000000002</v>
      </c>
      <c r="I117">
        <v>-20.314215000000001</v>
      </c>
      <c r="J117">
        <f t="shared" si="12"/>
        <v>5.7314319999999981</v>
      </c>
      <c r="K117">
        <f t="shared" si="13"/>
        <v>3.6429100000000005</v>
      </c>
      <c r="L117">
        <f t="shared" si="14"/>
        <v>2.4348869999999998</v>
      </c>
      <c r="M117">
        <f t="shared" si="15"/>
        <v>2.3944779999999994</v>
      </c>
      <c r="N117">
        <f t="shared" si="16"/>
        <v>2.4430389999999989</v>
      </c>
    </row>
    <row r="118" spans="1:14" x14ac:dyDescent="0.2">
      <c r="A118" s="1">
        <v>117</v>
      </c>
      <c r="B118" s="14" t="s">
        <v>133</v>
      </c>
      <c r="C118" s="5">
        <v>2</v>
      </c>
      <c r="D118" s="8">
        <v>2.43872</v>
      </c>
      <c r="E118" s="1">
        <v>-22.821926000000001</v>
      </c>
      <c r="F118" s="1">
        <v>-21.029567</v>
      </c>
      <c r="G118" s="1">
        <v>-17.143598999999998</v>
      </c>
      <c r="H118" s="1">
        <v>-18.617248</v>
      </c>
      <c r="I118">
        <v>-18.431668999999999</v>
      </c>
      <c r="J118">
        <f t="shared" si="12"/>
        <v>5.516143999999997</v>
      </c>
      <c r="K118">
        <f t="shared" si="13"/>
        <v>3.8427140000000009</v>
      </c>
      <c r="L118">
        <f t="shared" si="14"/>
        <v>3.9537140000000015</v>
      </c>
      <c r="M118">
        <f t="shared" si="15"/>
        <v>4.0462540000000011</v>
      </c>
      <c r="N118">
        <f t="shared" si="16"/>
        <v>4.3255850000000002</v>
      </c>
    </row>
    <row r="119" spans="1:14" x14ac:dyDescent="0.2">
      <c r="A119" s="1">
        <v>118</v>
      </c>
      <c r="B119" s="14" t="s">
        <v>134</v>
      </c>
      <c r="C119" s="5">
        <v>2</v>
      </c>
      <c r="D119" s="8">
        <v>4.0037560000000001</v>
      </c>
      <c r="E119" s="1">
        <v>-21.562678999999999</v>
      </c>
      <c r="F119" s="1">
        <v>-19.505410000000001</v>
      </c>
      <c r="G119" s="1">
        <v>-16.093868000000001</v>
      </c>
      <c r="H119" s="1">
        <v>-17.588988000000001</v>
      </c>
      <c r="I119">
        <v>-17.477398000000001</v>
      </c>
      <c r="J119">
        <f t="shared" si="12"/>
        <v>6.7753909999999991</v>
      </c>
      <c r="K119">
        <f t="shared" si="13"/>
        <v>5.3668709999999997</v>
      </c>
      <c r="L119">
        <f t="shared" si="14"/>
        <v>5.0034449999999993</v>
      </c>
      <c r="M119">
        <f t="shared" si="15"/>
        <v>5.0745140000000006</v>
      </c>
      <c r="N119">
        <f t="shared" si="16"/>
        <v>5.2798559999999988</v>
      </c>
    </row>
    <row r="120" spans="1:14" x14ac:dyDescent="0.2">
      <c r="A120" s="1">
        <v>119</v>
      </c>
      <c r="B120" s="14" t="s">
        <v>135</v>
      </c>
      <c r="C120" s="5">
        <v>2</v>
      </c>
      <c r="D120" s="8">
        <v>4.328633</v>
      </c>
      <c r="E120" s="1">
        <v>-21.516102</v>
      </c>
      <c r="F120" s="1">
        <v>-18.885846000000001</v>
      </c>
      <c r="G120" s="1">
        <v>-15.806528999999999</v>
      </c>
      <c r="H120" s="1">
        <v>-17.408206</v>
      </c>
      <c r="I120">
        <v>-17.330133</v>
      </c>
      <c r="J120">
        <f t="shared" si="12"/>
        <v>6.8219679999999983</v>
      </c>
      <c r="K120">
        <f t="shared" si="13"/>
        <v>5.9864350000000002</v>
      </c>
      <c r="L120">
        <f t="shared" si="14"/>
        <v>5.2907840000000004</v>
      </c>
      <c r="M120">
        <f t="shared" si="15"/>
        <v>5.2552960000000013</v>
      </c>
      <c r="N120">
        <f t="shared" si="16"/>
        <v>5.4271209999999996</v>
      </c>
    </row>
    <row r="121" spans="1:14" x14ac:dyDescent="0.2">
      <c r="A121" s="1">
        <v>120</v>
      </c>
      <c r="B121" s="14" t="s">
        <v>136</v>
      </c>
      <c r="C121" s="5">
        <v>2</v>
      </c>
      <c r="D121" s="8">
        <v>5.2241900000000001</v>
      </c>
      <c r="E121" s="1">
        <v>-21.824183999999999</v>
      </c>
      <c r="F121" s="1">
        <v>-20.084205000000001</v>
      </c>
      <c r="G121" s="1">
        <v>-15.53171</v>
      </c>
      <c r="H121" s="1">
        <v>-16.201597</v>
      </c>
      <c r="I121">
        <v>-16.386831000000001</v>
      </c>
      <c r="J121">
        <f t="shared" si="12"/>
        <v>6.5138859999999994</v>
      </c>
      <c r="K121">
        <f t="shared" si="13"/>
        <v>4.7880760000000002</v>
      </c>
      <c r="L121">
        <f t="shared" si="14"/>
        <v>5.5656029999999994</v>
      </c>
      <c r="M121">
        <f t="shared" si="15"/>
        <v>6.4619050000000016</v>
      </c>
      <c r="N121">
        <f t="shared" si="16"/>
        <v>6.3704229999999988</v>
      </c>
    </row>
    <row r="122" spans="1:14" x14ac:dyDescent="0.2">
      <c r="A122" s="1">
        <v>121</v>
      </c>
      <c r="B122" s="14" t="s">
        <v>137</v>
      </c>
      <c r="C122" s="5">
        <v>2</v>
      </c>
      <c r="D122" s="8">
        <v>5.579987</v>
      </c>
      <c r="E122" s="1">
        <v>-23.973524999999999</v>
      </c>
      <c r="F122" s="1">
        <v>-20.515142999999998</v>
      </c>
      <c r="G122" s="1">
        <v>-17.021982999999999</v>
      </c>
      <c r="H122" s="1">
        <v>-18.410319000000001</v>
      </c>
      <c r="I122">
        <v>-18.413155</v>
      </c>
      <c r="J122">
        <f t="shared" si="12"/>
        <v>4.3645449999999997</v>
      </c>
      <c r="K122">
        <f t="shared" si="13"/>
        <v>4.3571380000000026</v>
      </c>
      <c r="L122">
        <f t="shared" si="14"/>
        <v>4.075330000000001</v>
      </c>
      <c r="M122">
        <f t="shared" si="15"/>
        <v>4.2531829999999999</v>
      </c>
      <c r="N122">
        <f t="shared" si="16"/>
        <v>4.3440989999999999</v>
      </c>
    </row>
    <row r="123" spans="1:14" x14ac:dyDescent="0.2">
      <c r="A123" s="1">
        <v>122</v>
      </c>
      <c r="B123" s="14" t="s">
        <v>138</v>
      </c>
      <c r="C123" s="5">
        <v>2</v>
      </c>
      <c r="D123" s="8">
        <v>3.7052870000000002</v>
      </c>
      <c r="E123" s="1">
        <v>-21.775708000000002</v>
      </c>
      <c r="F123" s="1">
        <v>-20.006708</v>
      </c>
      <c r="G123" s="1">
        <v>-17.100439999999999</v>
      </c>
      <c r="H123" s="1">
        <v>-18.55217</v>
      </c>
      <c r="I123">
        <v>-18.645623000000001</v>
      </c>
      <c r="J123">
        <f t="shared" si="12"/>
        <v>6.5623619999999967</v>
      </c>
      <c r="K123">
        <f t="shared" si="13"/>
        <v>4.8655730000000013</v>
      </c>
      <c r="L123">
        <f t="shared" si="14"/>
        <v>3.9968730000000008</v>
      </c>
      <c r="M123">
        <f t="shared" si="15"/>
        <v>4.1113320000000009</v>
      </c>
      <c r="N123">
        <f t="shared" si="16"/>
        <v>4.1116309999999991</v>
      </c>
    </row>
    <row r="124" spans="1:14" x14ac:dyDescent="0.2">
      <c r="A124" s="1">
        <v>123</v>
      </c>
      <c r="B124" s="14" t="s">
        <v>139</v>
      </c>
      <c r="C124" s="5">
        <v>2</v>
      </c>
      <c r="D124" s="8">
        <v>6.4825210000000002</v>
      </c>
      <c r="E124" s="1">
        <v>-21.197859999999999</v>
      </c>
      <c r="F124" s="1">
        <v>-19.426010000000002</v>
      </c>
      <c r="G124" s="1">
        <v>-16.963137</v>
      </c>
      <c r="H124" s="1">
        <v>-18.355993000000002</v>
      </c>
      <c r="I124">
        <v>-18.411403</v>
      </c>
      <c r="J124">
        <f t="shared" si="12"/>
        <v>7.1402099999999997</v>
      </c>
      <c r="K124">
        <f t="shared" si="13"/>
        <v>5.4462709999999994</v>
      </c>
      <c r="L124">
        <f t="shared" si="14"/>
        <v>4.1341760000000001</v>
      </c>
      <c r="M124">
        <f t="shared" si="15"/>
        <v>4.3075089999999996</v>
      </c>
      <c r="N124">
        <f t="shared" si="16"/>
        <v>4.3458509999999997</v>
      </c>
    </row>
    <row r="125" spans="1:14" x14ac:dyDescent="0.2">
      <c r="A125" s="1">
        <v>124</v>
      </c>
      <c r="B125" s="14" t="s">
        <v>140</v>
      </c>
      <c r="C125" s="5">
        <v>2</v>
      </c>
      <c r="D125" s="8">
        <v>3.05261</v>
      </c>
      <c r="E125" s="1">
        <v>-26.139042</v>
      </c>
      <c r="F125" s="1">
        <v>-23.827632000000001</v>
      </c>
      <c r="G125" s="1">
        <v>-20.252700999999998</v>
      </c>
      <c r="H125" s="1">
        <v>-21.707747999999999</v>
      </c>
      <c r="I125">
        <v>-21.717628000000001</v>
      </c>
      <c r="J125">
        <f t="shared" si="12"/>
        <v>2.1990279999999984</v>
      </c>
      <c r="K125">
        <f t="shared" si="13"/>
        <v>1.0446489999999997</v>
      </c>
      <c r="L125">
        <f t="shared" si="14"/>
        <v>0.84461200000000147</v>
      </c>
      <c r="M125">
        <f t="shared" si="15"/>
        <v>0.95575400000000243</v>
      </c>
      <c r="N125">
        <f t="shared" si="16"/>
        <v>1.0396259999999984</v>
      </c>
    </row>
    <row r="126" spans="1:14" x14ac:dyDescent="0.2">
      <c r="A126" s="1">
        <v>125</v>
      </c>
      <c r="B126" s="14" t="s">
        <v>141</v>
      </c>
      <c r="C126" s="5">
        <v>2</v>
      </c>
      <c r="D126" s="8">
        <v>1.6185449999999999</v>
      </c>
      <c r="E126" s="1">
        <v>-25.048507000000001</v>
      </c>
      <c r="F126" s="1">
        <v>-21.484107000000002</v>
      </c>
      <c r="G126" s="1">
        <v>-17.396802999999998</v>
      </c>
      <c r="H126" s="1">
        <v>-18.84693</v>
      </c>
      <c r="I126">
        <v>-18.733546</v>
      </c>
      <c r="J126">
        <f t="shared" si="12"/>
        <v>3.2895629999999976</v>
      </c>
      <c r="K126">
        <f t="shared" si="13"/>
        <v>3.3881739999999994</v>
      </c>
      <c r="L126">
        <f t="shared" si="14"/>
        <v>3.7005100000000013</v>
      </c>
      <c r="M126">
        <f t="shared" si="15"/>
        <v>3.8165720000000007</v>
      </c>
      <c r="N126">
        <f t="shared" si="16"/>
        <v>4.0237079999999992</v>
      </c>
    </row>
    <row r="127" spans="1:14" x14ac:dyDescent="0.2">
      <c r="A127" s="1">
        <v>126</v>
      </c>
      <c r="B127" s="14" t="s">
        <v>142</v>
      </c>
      <c r="C127" s="5">
        <v>2</v>
      </c>
      <c r="D127" s="8">
        <v>2.4443049999999999</v>
      </c>
      <c r="E127" s="1">
        <v>-25.308112999999999</v>
      </c>
      <c r="F127" s="1">
        <v>-22.604970000000002</v>
      </c>
      <c r="G127" s="1">
        <v>-18.690715000000001</v>
      </c>
      <c r="H127" s="1">
        <v>-19.990894000000001</v>
      </c>
      <c r="I127">
        <v>-20.049036000000001</v>
      </c>
      <c r="J127">
        <f t="shared" si="12"/>
        <v>3.0299569999999996</v>
      </c>
      <c r="K127">
        <f t="shared" si="13"/>
        <v>2.2673109999999994</v>
      </c>
      <c r="L127">
        <f t="shared" si="14"/>
        <v>2.4065979999999989</v>
      </c>
      <c r="M127">
        <f t="shared" si="15"/>
        <v>2.6726080000000003</v>
      </c>
      <c r="N127">
        <f t="shared" si="16"/>
        <v>2.7082179999999987</v>
      </c>
    </row>
    <row r="128" spans="1:14" x14ac:dyDescent="0.2">
      <c r="A128" s="1">
        <v>127</v>
      </c>
      <c r="B128" s="14" t="s">
        <v>143</v>
      </c>
      <c r="C128" s="5">
        <v>2</v>
      </c>
      <c r="D128" s="8">
        <v>4.2919520000000002</v>
      </c>
      <c r="E128" s="1">
        <v>-21.319838000000001</v>
      </c>
      <c r="F128" s="1">
        <v>-20.295323</v>
      </c>
      <c r="G128" s="1">
        <v>-18.204103</v>
      </c>
      <c r="H128" s="1">
        <v>-19.966836000000001</v>
      </c>
      <c r="I128">
        <v>-20.097693</v>
      </c>
      <c r="J128">
        <f t="shared" si="12"/>
        <v>7.0182319999999976</v>
      </c>
      <c r="K128">
        <f t="shared" si="13"/>
        <v>4.5769580000000012</v>
      </c>
      <c r="L128">
        <f t="shared" si="14"/>
        <v>2.8932099999999998</v>
      </c>
      <c r="M128">
        <f t="shared" si="15"/>
        <v>2.6966660000000005</v>
      </c>
      <c r="N128">
        <f t="shared" si="16"/>
        <v>2.6595610000000001</v>
      </c>
    </row>
    <row r="129" spans="1:14" x14ac:dyDescent="0.2">
      <c r="A129" s="1">
        <v>128</v>
      </c>
      <c r="B129" s="14" t="s">
        <v>144</v>
      </c>
      <c r="C129" s="5">
        <v>2</v>
      </c>
      <c r="D129" s="8">
        <v>1.770178</v>
      </c>
      <c r="E129" s="1">
        <v>-25.893833000000001</v>
      </c>
      <c r="F129" s="1">
        <v>-22.987622999999999</v>
      </c>
      <c r="G129" s="1">
        <v>-18.881259</v>
      </c>
      <c r="H129" s="1">
        <v>-20.274978999999998</v>
      </c>
      <c r="I129">
        <v>-20.405598000000001</v>
      </c>
      <c r="J129">
        <f t="shared" si="12"/>
        <v>2.4442369999999976</v>
      </c>
      <c r="K129">
        <f t="shared" si="13"/>
        <v>1.8846580000000017</v>
      </c>
      <c r="L129">
        <f t="shared" si="14"/>
        <v>2.2160539999999997</v>
      </c>
      <c r="M129">
        <f t="shared" si="15"/>
        <v>2.3885230000000028</v>
      </c>
      <c r="N129">
        <f t="shared" si="16"/>
        <v>2.3516559999999984</v>
      </c>
    </row>
    <row r="130" spans="1:14" x14ac:dyDescent="0.2">
      <c r="A130" s="1">
        <v>129</v>
      </c>
      <c r="B130" s="14" t="s">
        <v>145</v>
      </c>
      <c r="C130" s="5">
        <v>2</v>
      </c>
      <c r="D130" s="8">
        <v>3.4565090000000001</v>
      </c>
      <c r="E130" s="1">
        <v>-24.526323000000001</v>
      </c>
      <c r="F130" s="1">
        <v>-22.095092999999999</v>
      </c>
      <c r="G130" s="1">
        <v>-17.934099</v>
      </c>
      <c r="H130" s="1">
        <v>-19.080662</v>
      </c>
      <c r="I130">
        <v>-19.139032</v>
      </c>
      <c r="J130">
        <f t="shared" si="12"/>
        <v>3.8117469999999969</v>
      </c>
      <c r="K130">
        <f t="shared" si="13"/>
        <v>2.7771880000000024</v>
      </c>
      <c r="L130">
        <f t="shared" si="14"/>
        <v>3.163214</v>
      </c>
      <c r="M130">
        <f t="shared" si="15"/>
        <v>3.5828400000000009</v>
      </c>
      <c r="N130">
        <f t="shared" si="16"/>
        <v>3.6182219999999994</v>
      </c>
    </row>
    <row r="131" spans="1:14" x14ac:dyDescent="0.2">
      <c r="A131" s="1">
        <v>130</v>
      </c>
      <c r="B131" s="14" t="s">
        <v>146</v>
      </c>
      <c r="C131" s="5">
        <v>2</v>
      </c>
      <c r="D131" s="8">
        <v>4.6142099999999999</v>
      </c>
      <c r="E131" s="1">
        <v>-23.998532000000001</v>
      </c>
      <c r="F131" s="1">
        <v>-20.104157000000001</v>
      </c>
      <c r="G131" s="1">
        <v>-16.288499000000002</v>
      </c>
      <c r="H131" s="1">
        <v>-17.65897</v>
      </c>
      <c r="I131">
        <v>-17.646547999999999</v>
      </c>
      <c r="J131">
        <f t="shared" ref="J131:J194" si="17">E131-E$2</f>
        <v>4.3395379999999975</v>
      </c>
      <c r="K131">
        <f t="shared" ref="K131:K194" si="18">F131-F$2</f>
        <v>4.7681240000000003</v>
      </c>
      <c r="L131">
        <f t="shared" ref="L131:L194" si="19">G131-G$2</f>
        <v>4.8088139999999981</v>
      </c>
      <c r="M131">
        <f t="shared" ref="M131:M194" si="20">H131-H$2</f>
        <v>5.0045320000000011</v>
      </c>
      <c r="N131">
        <f t="shared" ref="N131:N194" si="21">I131-I$2</f>
        <v>5.1107060000000004</v>
      </c>
    </row>
    <row r="132" spans="1:14" x14ac:dyDescent="0.2">
      <c r="A132" s="1">
        <v>131</v>
      </c>
      <c r="B132" s="14" t="s">
        <v>147</v>
      </c>
      <c r="C132" s="5">
        <v>2</v>
      </c>
      <c r="D132" s="8">
        <v>1.626023</v>
      </c>
      <c r="E132" s="1">
        <v>-25.373403</v>
      </c>
      <c r="F132" s="1">
        <v>-22.404375999999999</v>
      </c>
      <c r="G132" s="1">
        <v>-18.271692999999999</v>
      </c>
      <c r="H132" s="1">
        <v>-19.431408999999999</v>
      </c>
      <c r="I132">
        <v>-19.538924000000002</v>
      </c>
      <c r="J132">
        <f t="shared" si="17"/>
        <v>2.9646669999999986</v>
      </c>
      <c r="K132">
        <f t="shared" si="18"/>
        <v>2.4679050000000018</v>
      </c>
      <c r="L132">
        <f t="shared" si="19"/>
        <v>2.8256200000000007</v>
      </c>
      <c r="M132">
        <f t="shared" si="20"/>
        <v>3.2320930000000025</v>
      </c>
      <c r="N132">
        <f t="shared" si="21"/>
        <v>3.2183299999999981</v>
      </c>
    </row>
    <row r="133" spans="1:14" x14ac:dyDescent="0.2">
      <c r="A133" s="1">
        <v>132</v>
      </c>
      <c r="B133" s="14" t="s">
        <v>148</v>
      </c>
      <c r="C133" s="5">
        <v>2</v>
      </c>
      <c r="D133" s="8">
        <v>3.339626</v>
      </c>
      <c r="E133" s="1">
        <v>-21.48855</v>
      </c>
      <c r="F133" s="1">
        <v>-19.475954999999999</v>
      </c>
      <c r="G133" s="1">
        <v>-16.397936999999999</v>
      </c>
      <c r="H133" s="1">
        <v>-18.134277999999998</v>
      </c>
      <c r="I133">
        <v>-18.067882000000001</v>
      </c>
      <c r="J133">
        <f t="shared" si="17"/>
        <v>6.8495199999999983</v>
      </c>
      <c r="K133">
        <f t="shared" si="18"/>
        <v>5.396326000000002</v>
      </c>
      <c r="L133">
        <f t="shared" si="19"/>
        <v>4.6993760000000009</v>
      </c>
      <c r="M133">
        <f t="shared" si="20"/>
        <v>4.5292240000000028</v>
      </c>
      <c r="N133">
        <f t="shared" si="21"/>
        <v>4.6893719999999988</v>
      </c>
    </row>
    <row r="134" spans="1:14" x14ac:dyDescent="0.2">
      <c r="A134" s="1">
        <v>133</v>
      </c>
      <c r="B134" s="14" t="s">
        <v>149</v>
      </c>
      <c r="C134" s="5">
        <v>2</v>
      </c>
      <c r="D134" s="8">
        <v>4.803363</v>
      </c>
      <c r="E134" s="1">
        <v>-23.998532000000001</v>
      </c>
      <c r="F134" s="1">
        <v>-20.104157000000001</v>
      </c>
      <c r="G134" s="1">
        <v>-16.288499000000002</v>
      </c>
      <c r="H134" s="1">
        <v>-17.65897</v>
      </c>
      <c r="I134">
        <v>-17.646547999999999</v>
      </c>
      <c r="J134">
        <f t="shared" si="17"/>
        <v>4.3395379999999975</v>
      </c>
      <c r="K134">
        <f t="shared" si="18"/>
        <v>4.7681240000000003</v>
      </c>
      <c r="L134">
        <f t="shared" si="19"/>
        <v>4.8088139999999981</v>
      </c>
      <c r="M134">
        <f t="shared" si="20"/>
        <v>5.0045320000000011</v>
      </c>
      <c r="N134">
        <f t="shared" si="21"/>
        <v>5.1107060000000004</v>
      </c>
    </row>
    <row r="135" spans="1:14" x14ac:dyDescent="0.2">
      <c r="A135" s="1">
        <v>134</v>
      </c>
      <c r="B135" s="14" t="s">
        <v>150</v>
      </c>
      <c r="C135" s="5">
        <v>2</v>
      </c>
      <c r="D135" s="8">
        <v>5.7555249999999996</v>
      </c>
      <c r="E135" s="1">
        <v>-23.694806</v>
      </c>
      <c r="F135" s="1">
        <v>-21.942974</v>
      </c>
      <c r="G135" s="1">
        <v>-18.036646999999999</v>
      </c>
      <c r="H135" s="1">
        <v>-19.319226</v>
      </c>
      <c r="I135">
        <v>-19.365971999999999</v>
      </c>
      <c r="J135">
        <f t="shared" si="17"/>
        <v>4.6432639999999985</v>
      </c>
      <c r="K135">
        <f t="shared" si="18"/>
        <v>2.9293070000000014</v>
      </c>
      <c r="L135">
        <f t="shared" si="19"/>
        <v>3.0606660000000012</v>
      </c>
      <c r="M135">
        <f t="shared" si="20"/>
        <v>3.3442760000000007</v>
      </c>
      <c r="N135">
        <f t="shared" si="21"/>
        <v>3.3912820000000004</v>
      </c>
    </row>
    <row r="136" spans="1:14" x14ac:dyDescent="0.2">
      <c r="A136" s="1">
        <v>135</v>
      </c>
      <c r="B136" s="14" t="s">
        <v>151</v>
      </c>
      <c r="C136" s="5">
        <v>2</v>
      </c>
      <c r="D136" s="8">
        <v>3.0375079999999999</v>
      </c>
      <c r="E136" s="1">
        <v>-24.805665999999999</v>
      </c>
      <c r="F136" s="1">
        <v>-22.27402</v>
      </c>
      <c r="G136" s="1">
        <v>-19.507038000000001</v>
      </c>
      <c r="H136" s="1">
        <v>-21.224778000000001</v>
      </c>
      <c r="I136">
        <v>-21.353840999999999</v>
      </c>
      <c r="J136">
        <f t="shared" si="17"/>
        <v>3.5324039999999997</v>
      </c>
      <c r="K136">
        <f t="shared" si="18"/>
        <v>2.5982610000000008</v>
      </c>
      <c r="L136">
        <f t="shared" si="19"/>
        <v>1.5902749999999983</v>
      </c>
      <c r="M136">
        <f t="shared" si="20"/>
        <v>1.4387240000000006</v>
      </c>
      <c r="N136">
        <f t="shared" si="21"/>
        <v>1.4034130000000005</v>
      </c>
    </row>
    <row r="137" spans="1:14" x14ac:dyDescent="0.2">
      <c r="A137" s="1">
        <v>136</v>
      </c>
      <c r="B137" s="14" t="s">
        <v>152</v>
      </c>
      <c r="C137" s="5">
        <v>2</v>
      </c>
      <c r="D137" s="8">
        <v>2.6380590000000002</v>
      </c>
      <c r="E137" s="1">
        <v>-24.852242</v>
      </c>
      <c r="F137" s="1">
        <v>-22.893584000000001</v>
      </c>
      <c r="G137" s="1">
        <v>-19.794377999999998</v>
      </c>
      <c r="H137" s="1">
        <v>-21.405560000000001</v>
      </c>
      <c r="I137">
        <v>-21.501106</v>
      </c>
      <c r="J137">
        <f t="shared" si="17"/>
        <v>3.4858279999999979</v>
      </c>
      <c r="K137">
        <f t="shared" si="18"/>
        <v>1.9786970000000004</v>
      </c>
      <c r="L137">
        <f t="shared" si="19"/>
        <v>1.3029350000000015</v>
      </c>
      <c r="M137">
        <f t="shared" si="20"/>
        <v>1.2579419999999999</v>
      </c>
      <c r="N137">
        <f t="shared" si="21"/>
        <v>1.2561479999999996</v>
      </c>
    </row>
    <row r="138" spans="1:14" x14ac:dyDescent="0.2">
      <c r="A138" s="1">
        <v>137</v>
      </c>
      <c r="B138" s="14" t="s">
        <v>153</v>
      </c>
      <c r="C138" s="5">
        <v>2</v>
      </c>
      <c r="D138" s="8">
        <v>3.1289449999999999</v>
      </c>
      <c r="E138" s="1">
        <v>-22.863876000000001</v>
      </c>
      <c r="F138" s="1">
        <v>-20.720312</v>
      </c>
      <c r="G138" s="1">
        <v>-16.474661000000001</v>
      </c>
      <c r="H138" s="1">
        <v>-17.602371999999999</v>
      </c>
      <c r="I138">
        <v>-17.697379999999999</v>
      </c>
      <c r="J138">
        <f t="shared" si="17"/>
        <v>5.4741939999999971</v>
      </c>
      <c r="K138">
        <f t="shared" si="18"/>
        <v>4.1519690000000011</v>
      </c>
      <c r="L138">
        <f t="shared" si="19"/>
        <v>4.6226519999999987</v>
      </c>
      <c r="M138">
        <f t="shared" si="20"/>
        <v>5.0611300000000021</v>
      </c>
      <c r="N138">
        <f t="shared" si="21"/>
        <v>5.0598740000000006</v>
      </c>
    </row>
    <row r="139" spans="1:14" x14ac:dyDescent="0.2">
      <c r="A139" s="1">
        <v>138</v>
      </c>
      <c r="B139" s="14" t="s">
        <v>154</v>
      </c>
      <c r="C139" s="5">
        <v>2</v>
      </c>
      <c r="D139" s="8">
        <v>2.8898359999999998</v>
      </c>
      <c r="E139" s="1">
        <v>-24.852242</v>
      </c>
      <c r="F139" s="1">
        <v>-22.893584000000001</v>
      </c>
      <c r="G139" s="1">
        <v>-19.794377999999998</v>
      </c>
      <c r="H139" s="1">
        <v>-21.405560000000001</v>
      </c>
      <c r="I139">
        <v>-21.501106</v>
      </c>
      <c r="J139">
        <f t="shared" si="17"/>
        <v>3.4858279999999979</v>
      </c>
      <c r="K139">
        <f t="shared" si="18"/>
        <v>1.9786970000000004</v>
      </c>
      <c r="L139">
        <f t="shared" si="19"/>
        <v>1.3029350000000015</v>
      </c>
      <c r="M139">
        <f t="shared" si="20"/>
        <v>1.2579419999999999</v>
      </c>
      <c r="N139">
        <f t="shared" si="21"/>
        <v>1.2561479999999996</v>
      </c>
    </row>
    <row r="140" spans="1:14" x14ac:dyDescent="0.2">
      <c r="A140" s="1">
        <v>139</v>
      </c>
      <c r="B140" s="14" t="s">
        <v>155</v>
      </c>
      <c r="C140" s="5">
        <v>2</v>
      </c>
      <c r="D140" s="8">
        <v>3.9353669999999998</v>
      </c>
      <c r="E140" s="1">
        <v>-22.361429000000001</v>
      </c>
      <c r="F140" s="1">
        <v>-20.389361999999998</v>
      </c>
      <c r="G140" s="1">
        <v>-17.290984000000002</v>
      </c>
      <c r="H140" s="1">
        <v>-18.836255000000001</v>
      </c>
      <c r="I140">
        <v>-19.002185000000001</v>
      </c>
      <c r="J140">
        <f t="shared" si="17"/>
        <v>5.9766409999999972</v>
      </c>
      <c r="K140">
        <f t="shared" si="18"/>
        <v>4.4829190000000025</v>
      </c>
      <c r="L140">
        <f t="shared" si="19"/>
        <v>3.8063289999999981</v>
      </c>
      <c r="M140">
        <f t="shared" si="20"/>
        <v>3.8272469999999998</v>
      </c>
      <c r="N140">
        <f t="shared" si="21"/>
        <v>3.7550689999999989</v>
      </c>
    </row>
    <row r="141" spans="1:14" x14ac:dyDescent="0.2">
      <c r="A141" s="1">
        <v>140</v>
      </c>
      <c r="B141" s="14" t="s">
        <v>156</v>
      </c>
      <c r="C141" s="5">
        <v>2</v>
      </c>
      <c r="D141" s="8">
        <v>3.2601990000000001</v>
      </c>
      <c r="E141" s="1">
        <v>-21.822285000000001</v>
      </c>
      <c r="F141" s="1">
        <v>-20.626273000000001</v>
      </c>
      <c r="G141" s="1">
        <v>-17.387779999999999</v>
      </c>
      <c r="H141" s="1">
        <v>-18.732952000000001</v>
      </c>
      <c r="I141">
        <v>-18.792888999999999</v>
      </c>
      <c r="J141">
        <f t="shared" si="17"/>
        <v>6.5157849999999975</v>
      </c>
      <c r="K141">
        <f t="shared" si="18"/>
        <v>4.2460079999999998</v>
      </c>
      <c r="L141">
        <f t="shared" si="19"/>
        <v>3.7095330000000004</v>
      </c>
      <c r="M141">
        <f t="shared" si="20"/>
        <v>3.9305500000000002</v>
      </c>
      <c r="N141">
        <f t="shared" si="21"/>
        <v>3.9643650000000008</v>
      </c>
    </row>
    <row r="142" spans="1:14" x14ac:dyDescent="0.2">
      <c r="A142" s="1">
        <v>141</v>
      </c>
      <c r="B142" s="14" t="s">
        <v>157</v>
      </c>
      <c r="C142" s="5">
        <v>2</v>
      </c>
      <c r="D142" s="8">
        <v>6.5918260000000002</v>
      </c>
      <c r="E142" s="1">
        <v>-22.098685</v>
      </c>
      <c r="F142" s="1">
        <v>-19.102042000000001</v>
      </c>
      <c r="G142" s="1">
        <v>-15.692767</v>
      </c>
      <c r="H142" s="1">
        <v>-17.037618999999999</v>
      </c>
      <c r="I142">
        <v>-17.227385999999999</v>
      </c>
      <c r="J142">
        <f t="shared" si="17"/>
        <v>6.2393849999999986</v>
      </c>
      <c r="K142">
        <f t="shared" si="18"/>
        <v>5.7702390000000001</v>
      </c>
      <c r="L142">
        <f t="shared" si="19"/>
        <v>5.4045459999999999</v>
      </c>
      <c r="M142">
        <f t="shared" si="20"/>
        <v>5.6258830000000017</v>
      </c>
      <c r="N142">
        <f t="shared" si="21"/>
        <v>5.5298680000000004</v>
      </c>
    </row>
    <row r="143" spans="1:14" x14ac:dyDescent="0.2">
      <c r="A143" s="1">
        <v>142</v>
      </c>
      <c r="B143" s="14" t="s">
        <v>158</v>
      </c>
      <c r="C143" s="5">
        <v>2</v>
      </c>
      <c r="D143" s="8">
        <v>2.8707310000000001</v>
      </c>
      <c r="E143" s="1">
        <v>-25.308112999999999</v>
      </c>
      <c r="F143" s="1">
        <v>-22.604970000000002</v>
      </c>
      <c r="G143" s="1">
        <v>-18.690715000000001</v>
      </c>
      <c r="H143" s="1">
        <v>-19.990894000000001</v>
      </c>
      <c r="I143">
        <v>-20.049036000000001</v>
      </c>
      <c r="J143">
        <f t="shared" si="17"/>
        <v>3.0299569999999996</v>
      </c>
      <c r="K143">
        <f t="shared" si="18"/>
        <v>2.2673109999999994</v>
      </c>
      <c r="L143">
        <f t="shared" si="19"/>
        <v>2.4065979999999989</v>
      </c>
      <c r="M143">
        <f t="shared" si="20"/>
        <v>2.6726080000000003</v>
      </c>
      <c r="N143">
        <f t="shared" si="21"/>
        <v>2.7082179999999987</v>
      </c>
    </row>
    <row r="144" spans="1:14" x14ac:dyDescent="0.2">
      <c r="A144" s="1">
        <v>143</v>
      </c>
      <c r="B144" s="14" t="s">
        <v>159</v>
      </c>
      <c r="C144" s="5">
        <v>2</v>
      </c>
      <c r="D144" s="8">
        <v>4.3648189999999998</v>
      </c>
      <c r="E144" s="1">
        <v>-21.515699000000001</v>
      </c>
      <c r="F144" s="1">
        <v>-18.261890000000001</v>
      </c>
      <c r="G144" s="1">
        <v>-13.112603</v>
      </c>
      <c r="H144" s="1">
        <v>-13.503914</v>
      </c>
      <c r="I144">
        <v>-13.650418</v>
      </c>
      <c r="J144">
        <f t="shared" si="17"/>
        <v>6.8223709999999969</v>
      </c>
      <c r="K144">
        <f t="shared" si="18"/>
        <v>6.6103909999999999</v>
      </c>
      <c r="L144">
        <f t="shared" si="19"/>
        <v>7.9847099999999998</v>
      </c>
      <c r="M144">
        <f t="shared" si="20"/>
        <v>9.1595880000000012</v>
      </c>
      <c r="N144">
        <f t="shared" si="21"/>
        <v>9.1068359999999995</v>
      </c>
    </row>
    <row r="145" spans="1:14" x14ac:dyDescent="0.2">
      <c r="A145" s="1">
        <v>144</v>
      </c>
      <c r="B145" s="14" t="s">
        <v>160</v>
      </c>
      <c r="C145" s="5">
        <v>2</v>
      </c>
      <c r="D145" s="8">
        <v>2.7237979999999999</v>
      </c>
      <c r="E145" s="1">
        <v>-26.139042</v>
      </c>
      <c r="F145" s="1">
        <v>-23.827632000000001</v>
      </c>
      <c r="G145" s="1">
        <v>-20.252700999999998</v>
      </c>
      <c r="H145" s="1">
        <v>-21.707747999999999</v>
      </c>
      <c r="I145">
        <v>-21.717628000000001</v>
      </c>
      <c r="J145">
        <f t="shared" si="17"/>
        <v>2.1990279999999984</v>
      </c>
      <c r="K145">
        <f t="shared" si="18"/>
        <v>1.0446489999999997</v>
      </c>
      <c r="L145">
        <f t="shared" si="19"/>
        <v>0.84461200000000147</v>
      </c>
      <c r="M145">
        <f t="shared" si="20"/>
        <v>0.95575400000000243</v>
      </c>
      <c r="N145">
        <f t="shared" si="21"/>
        <v>1.0396259999999984</v>
      </c>
    </row>
    <row r="146" spans="1:14" x14ac:dyDescent="0.2">
      <c r="A146" s="1">
        <v>145</v>
      </c>
      <c r="B146" s="14" t="s">
        <v>161</v>
      </c>
      <c r="C146" s="5">
        <v>2</v>
      </c>
      <c r="D146" s="8">
        <v>3.511091</v>
      </c>
      <c r="E146" s="1">
        <v>-24.805665999999999</v>
      </c>
      <c r="F146" s="1">
        <v>-22.27402</v>
      </c>
      <c r="G146" s="1">
        <v>-19.507038000000001</v>
      </c>
      <c r="H146" s="1">
        <v>-21.224778000000001</v>
      </c>
      <c r="I146">
        <v>-21.353840999999999</v>
      </c>
      <c r="J146">
        <f t="shared" si="17"/>
        <v>3.5324039999999997</v>
      </c>
      <c r="K146">
        <f t="shared" si="18"/>
        <v>2.5982610000000008</v>
      </c>
      <c r="L146">
        <f t="shared" si="19"/>
        <v>1.5902749999999983</v>
      </c>
      <c r="M146">
        <f t="shared" si="20"/>
        <v>1.4387240000000006</v>
      </c>
      <c r="N146">
        <f t="shared" si="21"/>
        <v>1.4034130000000005</v>
      </c>
    </row>
    <row r="147" spans="1:14" x14ac:dyDescent="0.2">
      <c r="A147" s="1">
        <v>146</v>
      </c>
      <c r="B147" s="14" t="s">
        <v>162</v>
      </c>
      <c r="C147" s="5">
        <v>2</v>
      </c>
      <c r="D147" s="8">
        <v>6.515619</v>
      </c>
      <c r="E147" s="1">
        <v>-24.542922000000001</v>
      </c>
      <c r="F147" s="1">
        <v>-20.986699000000002</v>
      </c>
      <c r="G147" s="1">
        <v>-17.908822000000001</v>
      </c>
      <c r="H147" s="1">
        <v>-19.426141999999999</v>
      </c>
      <c r="I147">
        <v>-19.579042999999999</v>
      </c>
      <c r="J147">
        <f t="shared" si="17"/>
        <v>3.7951479999999975</v>
      </c>
      <c r="K147">
        <f t="shared" si="18"/>
        <v>3.8855819999999994</v>
      </c>
      <c r="L147">
        <f t="shared" si="19"/>
        <v>3.1884909999999991</v>
      </c>
      <c r="M147">
        <f t="shared" si="20"/>
        <v>3.2373600000000025</v>
      </c>
      <c r="N147">
        <f t="shared" si="21"/>
        <v>3.178211000000001</v>
      </c>
    </row>
    <row r="148" spans="1:14" x14ac:dyDescent="0.2">
      <c r="A148" s="1">
        <v>147</v>
      </c>
      <c r="B148" s="14" t="s">
        <v>163</v>
      </c>
      <c r="C148" s="5">
        <v>2</v>
      </c>
      <c r="D148" s="8">
        <v>6.2493179999999997</v>
      </c>
      <c r="E148" s="1">
        <v>-21.658852</v>
      </c>
      <c r="F148" s="1">
        <v>-19.847480999999998</v>
      </c>
      <c r="G148" s="1">
        <v>-16.363588</v>
      </c>
      <c r="H148" s="1">
        <v>-17.195350999999999</v>
      </c>
      <c r="I148">
        <v>-17.312346999999999</v>
      </c>
      <c r="J148">
        <f t="shared" si="17"/>
        <v>6.6792179999999988</v>
      </c>
      <c r="K148">
        <f t="shared" si="18"/>
        <v>5.0248000000000026</v>
      </c>
      <c r="L148">
        <f t="shared" si="19"/>
        <v>4.7337249999999997</v>
      </c>
      <c r="M148">
        <f t="shared" si="20"/>
        <v>5.4681510000000024</v>
      </c>
      <c r="N148">
        <f t="shared" si="21"/>
        <v>5.4449070000000006</v>
      </c>
    </row>
    <row r="149" spans="1:14" x14ac:dyDescent="0.2">
      <c r="A149" s="1">
        <v>148</v>
      </c>
      <c r="B149" s="14" t="s">
        <v>164</v>
      </c>
      <c r="C149" s="5">
        <v>2</v>
      </c>
      <c r="D149" s="8">
        <v>6.0469520000000001</v>
      </c>
      <c r="E149" s="1">
        <v>-21.225805999999999</v>
      </c>
      <c r="F149" s="1">
        <v>-18.188635000000001</v>
      </c>
      <c r="G149" s="1">
        <v>-14.799720000000001</v>
      </c>
      <c r="H149" s="1">
        <v>-16.335642</v>
      </c>
      <c r="I149">
        <v>-16.293084</v>
      </c>
      <c r="J149">
        <f t="shared" si="17"/>
        <v>7.1122639999999997</v>
      </c>
      <c r="K149">
        <f t="shared" si="18"/>
        <v>6.6836459999999995</v>
      </c>
      <c r="L149">
        <f t="shared" si="19"/>
        <v>6.2975929999999991</v>
      </c>
      <c r="M149">
        <f t="shared" si="20"/>
        <v>6.3278600000000012</v>
      </c>
      <c r="N149">
        <f t="shared" si="21"/>
        <v>6.4641699999999993</v>
      </c>
    </row>
    <row r="150" spans="1:14" x14ac:dyDescent="0.2">
      <c r="A150" s="1">
        <v>149</v>
      </c>
      <c r="B150" s="14" t="s">
        <v>165</v>
      </c>
      <c r="C150" s="5">
        <v>2</v>
      </c>
      <c r="D150" s="8">
        <v>5.3330190000000002</v>
      </c>
      <c r="E150" s="1">
        <v>-24.542922000000001</v>
      </c>
      <c r="F150" s="1">
        <v>-20.986699000000002</v>
      </c>
      <c r="G150" s="1">
        <v>-17.908822000000001</v>
      </c>
      <c r="H150" s="1">
        <v>-19.426141999999999</v>
      </c>
      <c r="I150">
        <v>-19.579042999999999</v>
      </c>
      <c r="J150">
        <f t="shared" si="17"/>
        <v>3.7951479999999975</v>
      </c>
      <c r="K150">
        <f t="shared" si="18"/>
        <v>3.8855819999999994</v>
      </c>
      <c r="L150">
        <f t="shared" si="19"/>
        <v>3.1884909999999991</v>
      </c>
      <c r="M150">
        <f t="shared" si="20"/>
        <v>3.2373600000000025</v>
      </c>
      <c r="N150">
        <f t="shared" si="21"/>
        <v>3.178211000000001</v>
      </c>
    </row>
    <row r="151" spans="1:14" x14ac:dyDescent="0.2">
      <c r="A151" s="1">
        <v>150</v>
      </c>
      <c r="B151" s="14" t="s">
        <v>166</v>
      </c>
      <c r="C151" s="5">
        <v>2</v>
      </c>
      <c r="D151" s="8">
        <v>3.3557670000000002</v>
      </c>
      <c r="E151" s="1">
        <v>-23.484732000000001</v>
      </c>
      <c r="F151" s="1">
        <v>-22.001054</v>
      </c>
      <c r="G151" s="1">
        <v>-18.847218000000002</v>
      </c>
      <c r="H151" s="1">
        <v>-20.211243</v>
      </c>
      <c r="I151">
        <v>-20.234541</v>
      </c>
      <c r="J151">
        <f t="shared" si="17"/>
        <v>4.8533379999999973</v>
      </c>
      <c r="K151">
        <f t="shared" si="18"/>
        <v>2.8712270000000011</v>
      </c>
      <c r="L151">
        <f t="shared" si="19"/>
        <v>2.2500949999999982</v>
      </c>
      <c r="M151">
        <f t="shared" si="20"/>
        <v>2.4522590000000015</v>
      </c>
      <c r="N151">
        <f t="shared" si="21"/>
        <v>2.5227129999999995</v>
      </c>
    </row>
    <row r="152" spans="1:14" x14ac:dyDescent="0.2">
      <c r="A152" s="1">
        <v>151</v>
      </c>
      <c r="B152" s="14" t="s">
        <v>167</v>
      </c>
      <c r="C152" s="5">
        <v>2</v>
      </c>
      <c r="D152" s="8">
        <v>5.8962779999999997</v>
      </c>
      <c r="E152" s="1">
        <v>-22.653214999999999</v>
      </c>
      <c r="F152" s="1">
        <v>-21.848935000000001</v>
      </c>
      <c r="G152" s="1">
        <v>-18.949766</v>
      </c>
      <c r="H152" s="1">
        <v>-20.449805999999999</v>
      </c>
      <c r="I152">
        <v>-20.461480000000002</v>
      </c>
      <c r="J152">
        <f t="shared" si="17"/>
        <v>5.6848549999999989</v>
      </c>
      <c r="K152">
        <f t="shared" si="18"/>
        <v>3.0233460000000001</v>
      </c>
      <c r="L152">
        <f t="shared" si="19"/>
        <v>2.1475469999999994</v>
      </c>
      <c r="M152">
        <f t="shared" si="20"/>
        <v>2.2136960000000023</v>
      </c>
      <c r="N152">
        <f t="shared" si="21"/>
        <v>2.295773999999998</v>
      </c>
    </row>
    <row r="153" spans="1:14" x14ac:dyDescent="0.2">
      <c r="A153" s="1">
        <v>152</v>
      </c>
      <c r="B153" s="14" t="s">
        <v>168</v>
      </c>
      <c r="C153" s="5">
        <v>2</v>
      </c>
      <c r="D153" s="8">
        <v>6.0884799999999997</v>
      </c>
      <c r="E153" s="1">
        <v>-22.343893999999999</v>
      </c>
      <c r="F153" s="1">
        <v>-19.942049999999998</v>
      </c>
      <c r="G153" s="1">
        <v>-17.064209999999999</v>
      </c>
      <c r="H153" s="1">
        <v>-18.470388</v>
      </c>
      <c r="I153">
        <v>-18.539417</v>
      </c>
      <c r="J153">
        <f t="shared" si="17"/>
        <v>5.9941759999999995</v>
      </c>
      <c r="K153">
        <f t="shared" si="18"/>
        <v>4.9302310000000027</v>
      </c>
      <c r="L153">
        <f t="shared" si="19"/>
        <v>4.0331030000000005</v>
      </c>
      <c r="M153">
        <f t="shared" si="20"/>
        <v>4.1931140000000013</v>
      </c>
      <c r="N153">
        <f t="shared" si="21"/>
        <v>4.2178369999999994</v>
      </c>
    </row>
    <row r="154" spans="1:14" x14ac:dyDescent="0.2">
      <c r="A154" s="1">
        <v>153</v>
      </c>
      <c r="B154" s="14" t="s">
        <v>169</v>
      </c>
      <c r="C154" s="5">
        <v>2</v>
      </c>
      <c r="D154" s="8">
        <v>6.1867640000000002</v>
      </c>
      <c r="E154" s="1">
        <v>-21.512964</v>
      </c>
      <c r="F154" s="1">
        <v>-18.719387999999999</v>
      </c>
      <c r="G154" s="1">
        <v>-15.502224</v>
      </c>
      <c r="H154" s="1">
        <v>-16.753533999999998</v>
      </c>
      <c r="I154">
        <v>-16.870825</v>
      </c>
      <c r="J154">
        <f t="shared" si="17"/>
        <v>6.8251059999999981</v>
      </c>
      <c r="K154">
        <f t="shared" si="18"/>
        <v>6.1528930000000024</v>
      </c>
      <c r="L154">
        <f t="shared" si="19"/>
        <v>5.5950889999999998</v>
      </c>
      <c r="M154">
        <f t="shared" si="20"/>
        <v>5.9099680000000028</v>
      </c>
      <c r="N154">
        <f t="shared" si="21"/>
        <v>5.8864289999999997</v>
      </c>
    </row>
    <row r="155" spans="1:14" x14ac:dyDescent="0.2">
      <c r="A155" s="1">
        <v>154</v>
      </c>
      <c r="B155" s="14" t="s">
        <v>170</v>
      </c>
      <c r="C155" s="5">
        <v>2</v>
      </c>
      <c r="D155" s="8">
        <v>5.9373899999999997</v>
      </c>
      <c r="E155" s="1">
        <v>-24.542922000000001</v>
      </c>
      <c r="F155" s="1">
        <v>-20.986699000000002</v>
      </c>
      <c r="G155" s="1">
        <v>-17.908822000000001</v>
      </c>
      <c r="H155" s="1">
        <v>-19.426141999999999</v>
      </c>
      <c r="I155">
        <v>-19.579042999999999</v>
      </c>
      <c r="J155">
        <f t="shared" si="17"/>
        <v>3.7951479999999975</v>
      </c>
      <c r="K155">
        <f t="shared" si="18"/>
        <v>3.8855819999999994</v>
      </c>
      <c r="L155">
        <f t="shared" si="19"/>
        <v>3.1884909999999991</v>
      </c>
      <c r="M155">
        <f t="shared" si="20"/>
        <v>3.2373600000000025</v>
      </c>
      <c r="N155">
        <f t="shared" si="21"/>
        <v>3.178211000000001</v>
      </c>
    </row>
    <row r="156" spans="1:14" x14ac:dyDescent="0.2">
      <c r="A156" s="1">
        <v>155</v>
      </c>
      <c r="B156" s="6" t="s">
        <v>171</v>
      </c>
      <c r="C156" s="5">
        <v>3</v>
      </c>
      <c r="D156" s="8">
        <v>2.0116800000000001</v>
      </c>
      <c r="E156" s="1">
        <v>-25.373403</v>
      </c>
      <c r="F156" s="1">
        <v>-22.404375999999999</v>
      </c>
      <c r="G156" s="1">
        <v>-18.271692999999999</v>
      </c>
      <c r="H156" s="1">
        <v>-19.431408999999999</v>
      </c>
      <c r="I156">
        <v>-19.538924000000002</v>
      </c>
      <c r="J156">
        <f t="shared" si="17"/>
        <v>2.9646669999999986</v>
      </c>
      <c r="K156">
        <f t="shared" si="18"/>
        <v>2.4679050000000018</v>
      </c>
      <c r="L156">
        <f t="shared" si="19"/>
        <v>2.8256200000000007</v>
      </c>
      <c r="M156">
        <f t="shared" si="20"/>
        <v>3.2320930000000025</v>
      </c>
      <c r="N156">
        <f t="shared" si="21"/>
        <v>3.2183299999999981</v>
      </c>
    </row>
    <row r="157" spans="1:14" x14ac:dyDescent="0.2">
      <c r="A157" s="1">
        <v>156</v>
      </c>
      <c r="B157" s="6" t="s">
        <v>172</v>
      </c>
      <c r="C157" s="5">
        <v>3</v>
      </c>
      <c r="D157" s="8">
        <v>4.6866159999999999</v>
      </c>
      <c r="E157" s="1">
        <v>-22.823553</v>
      </c>
      <c r="F157" s="1">
        <v>-20.386721999999999</v>
      </c>
      <c r="G157" s="1">
        <v>-18.839406</v>
      </c>
      <c r="H157" s="1">
        <v>-21.006350000000001</v>
      </c>
      <c r="I157">
        <v>-21.157098999999999</v>
      </c>
      <c r="J157">
        <f t="shared" si="17"/>
        <v>5.5145169999999979</v>
      </c>
      <c r="K157">
        <f t="shared" si="18"/>
        <v>4.4855590000000021</v>
      </c>
      <c r="L157">
        <f t="shared" si="19"/>
        <v>2.2579069999999994</v>
      </c>
      <c r="M157">
        <f t="shared" si="20"/>
        <v>1.657152</v>
      </c>
      <c r="N157">
        <f t="shared" si="21"/>
        <v>1.6001550000000009</v>
      </c>
    </row>
    <row r="158" spans="1:14" x14ac:dyDescent="0.2">
      <c r="A158" s="1">
        <v>157</v>
      </c>
      <c r="B158" s="6" t="s">
        <v>173</v>
      </c>
      <c r="C158" s="5">
        <v>3</v>
      </c>
      <c r="D158" s="8">
        <v>3.008874</v>
      </c>
      <c r="E158" s="1">
        <v>-23.694806</v>
      </c>
      <c r="F158" s="1">
        <v>-21.942974</v>
      </c>
      <c r="G158" s="1">
        <v>-18.036646999999999</v>
      </c>
      <c r="H158" s="1">
        <v>-19.319226</v>
      </c>
      <c r="I158">
        <v>-19.365971999999999</v>
      </c>
      <c r="J158">
        <f t="shared" si="17"/>
        <v>4.6432639999999985</v>
      </c>
      <c r="K158">
        <f t="shared" si="18"/>
        <v>2.9293070000000014</v>
      </c>
      <c r="L158">
        <f t="shared" si="19"/>
        <v>3.0606660000000012</v>
      </c>
      <c r="M158">
        <f t="shared" si="20"/>
        <v>3.3442760000000007</v>
      </c>
      <c r="N158">
        <f t="shared" si="21"/>
        <v>3.3912820000000004</v>
      </c>
    </row>
    <row r="159" spans="1:14" x14ac:dyDescent="0.2">
      <c r="A159" s="1">
        <v>158</v>
      </c>
      <c r="B159" s="6" t="s">
        <v>174</v>
      </c>
      <c r="C159" s="5">
        <v>3</v>
      </c>
      <c r="D159" s="8">
        <v>2.5702039999999999</v>
      </c>
      <c r="E159" s="1">
        <v>-23.710955999999999</v>
      </c>
      <c r="F159" s="1">
        <v>-21.029595</v>
      </c>
      <c r="G159" s="1">
        <v>-16.812255</v>
      </c>
      <c r="H159" s="1">
        <v>-17.953119000000001</v>
      </c>
      <c r="I159">
        <v>-18.097272</v>
      </c>
      <c r="J159">
        <f t="shared" si="17"/>
        <v>4.6271139999999988</v>
      </c>
      <c r="K159">
        <f t="shared" si="18"/>
        <v>3.8426860000000005</v>
      </c>
      <c r="L159">
        <f t="shared" si="19"/>
        <v>4.2850579999999994</v>
      </c>
      <c r="M159">
        <f t="shared" si="20"/>
        <v>4.7103830000000002</v>
      </c>
      <c r="N159">
        <f t="shared" si="21"/>
        <v>4.6599819999999994</v>
      </c>
    </row>
    <row r="160" spans="1:14" x14ac:dyDescent="0.2">
      <c r="A160" s="1">
        <v>159</v>
      </c>
      <c r="B160" s="6" t="s">
        <v>175</v>
      </c>
      <c r="C160" s="5">
        <v>3</v>
      </c>
      <c r="D160" s="8">
        <v>6.5606819999999999</v>
      </c>
      <c r="E160" s="1">
        <v>-22.806401999999999</v>
      </c>
      <c r="F160" s="1">
        <v>-19.275130999999998</v>
      </c>
      <c r="G160" s="1">
        <v>-15.724479000000001</v>
      </c>
      <c r="H160" s="1">
        <v>-17.630291</v>
      </c>
      <c r="I160">
        <v>-17.835312999999999</v>
      </c>
      <c r="J160">
        <f t="shared" si="17"/>
        <v>5.5316679999999998</v>
      </c>
      <c r="K160">
        <f t="shared" si="18"/>
        <v>5.5971500000000027</v>
      </c>
      <c r="L160">
        <f t="shared" si="19"/>
        <v>5.3728339999999992</v>
      </c>
      <c r="M160">
        <f t="shared" si="20"/>
        <v>5.0332110000000014</v>
      </c>
      <c r="N160">
        <f t="shared" si="21"/>
        <v>4.9219410000000003</v>
      </c>
    </row>
    <row r="161" spans="1:14" x14ac:dyDescent="0.2">
      <c r="A161" s="1">
        <v>160</v>
      </c>
      <c r="B161" s="6" t="s">
        <v>176</v>
      </c>
      <c r="C161" s="5">
        <v>3</v>
      </c>
      <c r="D161" s="8">
        <v>1.8508420000000001</v>
      </c>
      <c r="E161" s="1">
        <v>-25.373403</v>
      </c>
      <c r="F161" s="1">
        <v>-22.404375999999999</v>
      </c>
      <c r="G161" s="1">
        <v>-18.271692999999999</v>
      </c>
      <c r="H161" s="1">
        <v>-19.431408999999999</v>
      </c>
      <c r="I161">
        <v>-19.538924000000002</v>
      </c>
      <c r="J161">
        <f t="shared" si="17"/>
        <v>2.9646669999999986</v>
      </c>
      <c r="K161">
        <f t="shared" si="18"/>
        <v>2.4679050000000018</v>
      </c>
      <c r="L161">
        <f t="shared" si="19"/>
        <v>2.8256200000000007</v>
      </c>
      <c r="M161">
        <f t="shared" si="20"/>
        <v>3.2320930000000025</v>
      </c>
      <c r="N161">
        <f t="shared" si="21"/>
        <v>3.2183299999999981</v>
      </c>
    </row>
    <row r="162" spans="1:14" x14ac:dyDescent="0.2">
      <c r="A162" s="1">
        <v>161</v>
      </c>
      <c r="B162" s="6" t="s">
        <v>177</v>
      </c>
      <c r="C162" s="5">
        <v>3</v>
      </c>
      <c r="D162" s="8">
        <v>5.8466209999999998</v>
      </c>
      <c r="E162" s="1">
        <v>-19.506436999999998</v>
      </c>
      <c r="F162" s="1">
        <v>-17.588657000000001</v>
      </c>
      <c r="G162" s="1">
        <v>-15.730305</v>
      </c>
      <c r="H162" s="1">
        <v>-17.915849999999999</v>
      </c>
      <c r="I162">
        <v>-17.871141000000001</v>
      </c>
      <c r="J162">
        <f t="shared" si="17"/>
        <v>8.8316330000000001</v>
      </c>
      <c r="K162">
        <f t="shared" si="18"/>
        <v>7.2836239999999997</v>
      </c>
      <c r="L162">
        <f t="shared" si="19"/>
        <v>5.3670080000000002</v>
      </c>
      <c r="M162">
        <f t="shared" si="20"/>
        <v>4.7476520000000022</v>
      </c>
      <c r="N162">
        <f t="shared" si="21"/>
        <v>4.8861129999999982</v>
      </c>
    </row>
    <row r="163" spans="1:14" x14ac:dyDescent="0.2">
      <c r="A163" s="1">
        <v>162</v>
      </c>
      <c r="B163" s="6" t="s">
        <v>178</v>
      </c>
      <c r="C163" s="5">
        <v>3</v>
      </c>
      <c r="D163" s="8">
        <v>2.946456</v>
      </c>
      <c r="E163" s="1">
        <v>-23.423798000000001</v>
      </c>
      <c r="F163" s="1">
        <v>-20.498842</v>
      </c>
      <c r="G163" s="1">
        <v>-16.109750999999999</v>
      </c>
      <c r="H163" s="1">
        <v>-17.535226000000002</v>
      </c>
      <c r="I163">
        <v>-17.519531000000001</v>
      </c>
      <c r="J163">
        <f t="shared" si="17"/>
        <v>4.9142719999999969</v>
      </c>
      <c r="K163">
        <f t="shared" si="18"/>
        <v>4.3734390000000012</v>
      </c>
      <c r="L163">
        <f t="shared" si="19"/>
        <v>4.9875620000000005</v>
      </c>
      <c r="M163">
        <f t="shared" si="20"/>
        <v>5.1282759999999996</v>
      </c>
      <c r="N163">
        <f t="shared" si="21"/>
        <v>5.237722999999999</v>
      </c>
    </row>
    <row r="164" spans="1:14" x14ac:dyDescent="0.2">
      <c r="A164" s="1">
        <v>163</v>
      </c>
      <c r="B164" s="6" t="s">
        <v>179</v>
      </c>
      <c r="C164" s="5">
        <v>3</v>
      </c>
      <c r="D164" s="8">
        <v>6.6497080000000004</v>
      </c>
      <c r="E164" s="1">
        <v>-21.263151000000001</v>
      </c>
      <c r="F164" s="1">
        <v>-19.225415999999999</v>
      </c>
      <c r="G164" s="1">
        <v>-16.544115000000001</v>
      </c>
      <c r="H164" s="1">
        <v>-17.796507999999999</v>
      </c>
      <c r="I164">
        <v>-17.901291000000001</v>
      </c>
      <c r="J164">
        <f t="shared" si="17"/>
        <v>7.0749189999999977</v>
      </c>
      <c r="K164">
        <f t="shared" si="18"/>
        <v>5.6468650000000018</v>
      </c>
      <c r="L164">
        <f t="shared" si="19"/>
        <v>4.5531979999999983</v>
      </c>
      <c r="M164">
        <f t="shared" si="20"/>
        <v>4.8669940000000018</v>
      </c>
      <c r="N164">
        <f t="shared" si="21"/>
        <v>4.8559629999999991</v>
      </c>
    </row>
    <row r="165" spans="1:14" x14ac:dyDescent="0.2">
      <c r="A165" s="1">
        <v>164</v>
      </c>
      <c r="B165" s="6" t="s">
        <v>180</v>
      </c>
      <c r="C165" s="5">
        <v>3</v>
      </c>
      <c r="D165" s="8">
        <v>5.8680500000000002</v>
      </c>
      <c r="E165" s="1">
        <v>-22.630661</v>
      </c>
      <c r="F165" s="1">
        <v>-20.117947000000001</v>
      </c>
      <c r="G165" s="1">
        <v>-17.491275000000002</v>
      </c>
      <c r="H165" s="1">
        <v>-18.990825000000001</v>
      </c>
      <c r="I165">
        <v>-19.167856</v>
      </c>
      <c r="J165">
        <f t="shared" si="17"/>
        <v>5.7074089999999984</v>
      </c>
      <c r="K165">
        <f t="shared" si="18"/>
        <v>4.7543340000000001</v>
      </c>
      <c r="L165">
        <f t="shared" si="19"/>
        <v>3.6060379999999981</v>
      </c>
      <c r="M165">
        <f t="shared" si="20"/>
        <v>3.6726770000000002</v>
      </c>
      <c r="N165">
        <f t="shared" si="21"/>
        <v>3.5893979999999992</v>
      </c>
    </row>
    <row r="166" spans="1:14" x14ac:dyDescent="0.2">
      <c r="A166" s="1">
        <v>165</v>
      </c>
      <c r="B166" s="6" t="s">
        <v>181</v>
      </c>
      <c r="C166" s="5">
        <v>3</v>
      </c>
      <c r="D166" s="8">
        <v>2.7308140000000001</v>
      </c>
      <c r="E166" s="1">
        <v>-23.484732000000001</v>
      </c>
      <c r="F166" s="1">
        <v>-22.001054</v>
      </c>
      <c r="G166" s="1">
        <v>-18.847218000000002</v>
      </c>
      <c r="H166" s="1">
        <v>-20.211243</v>
      </c>
      <c r="I166">
        <v>-20.234541</v>
      </c>
      <c r="J166">
        <f t="shared" si="17"/>
        <v>4.8533379999999973</v>
      </c>
      <c r="K166">
        <f t="shared" si="18"/>
        <v>2.8712270000000011</v>
      </c>
      <c r="L166">
        <f t="shared" si="19"/>
        <v>2.2500949999999982</v>
      </c>
      <c r="M166">
        <f t="shared" si="20"/>
        <v>2.4522590000000015</v>
      </c>
      <c r="N166">
        <f t="shared" si="21"/>
        <v>2.5227129999999995</v>
      </c>
    </row>
    <row r="167" spans="1:14" x14ac:dyDescent="0.2">
      <c r="A167" s="1">
        <v>166</v>
      </c>
      <c r="B167" s="6" t="s">
        <v>182</v>
      </c>
      <c r="C167" s="5">
        <v>3</v>
      </c>
      <c r="D167" s="8">
        <v>5.5241550000000004</v>
      </c>
      <c r="E167" s="1">
        <v>-17.271073000000001</v>
      </c>
      <c r="F167" s="1">
        <v>-14.431215</v>
      </c>
      <c r="G167" s="1">
        <v>-10.713949</v>
      </c>
      <c r="H167" s="1">
        <v>-12.22757</v>
      </c>
      <c r="I167">
        <v>-12.096693</v>
      </c>
      <c r="J167">
        <f t="shared" si="17"/>
        <v>11.066996999999997</v>
      </c>
      <c r="K167">
        <f t="shared" si="18"/>
        <v>10.441066000000001</v>
      </c>
      <c r="L167">
        <f t="shared" si="19"/>
        <v>10.383364</v>
      </c>
      <c r="M167">
        <f t="shared" si="20"/>
        <v>10.435932000000001</v>
      </c>
      <c r="N167">
        <f t="shared" si="21"/>
        <v>10.660561</v>
      </c>
    </row>
    <row r="168" spans="1:14" x14ac:dyDescent="0.2">
      <c r="A168" s="1">
        <v>167</v>
      </c>
      <c r="B168" s="6" t="s">
        <v>183</v>
      </c>
      <c r="C168" s="5">
        <v>3</v>
      </c>
      <c r="D168" s="8">
        <v>3.8990520000000002</v>
      </c>
      <c r="E168" s="1">
        <v>-18.124783000000001</v>
      </c>
      <c r="F168" s="1">
        <v>-17.220642000000002</v>
      </c>
      <c r="G168" s="1">
        <v>-14.219828</v>
      </c>
      <c r="H168" s="1">
        <v>-15.974159999999999</v>
      </c>
      <c r="I168">
        <v>-15.951250999999999</v>
      </c>
      <c r="J168">
        <f t="shared" si="17"/>
        <v>10.213286999999998</v>
      </c>
      <c r="K168">
        <f t="shared" si="18"/>
        <v>7.6516389999999994</v>
      </c>
      <c r="L168">
        <f t="shared" si="19"/>
        <v>6.8774850000000001</v>
      </c>
      <c r="M168">
        <f t="shared" si="20"/>
        <v>6.6893420000000017</v>
      </c>
      <c r="N168">
        <f t="shared" si="21"/>
        <v>6.8060030000000005</v>
      </c>
    </row>
    <row r="169" spans="1:14" x14ac:dyDescent="0.2">
      <c r="A169" s="1">
        <v>168</v>
      </c>
      <c r="B169" s="6" t="s">
        <v>184</v>
      </c>
      <c r="C169" s="5">
        <v>3</v>
      </c>
      <c r="D169" s="8">
        <v>4.1890840000000003</v>
      </c>
      <c r="E169" s="1">
        <v>-23.208508999999999</v>
      </c>
      <c r="F169" s="1">
        <v>-20.698644999999999</v>
      </c>
      <c r="G169" s="1">
        <v>-17.628578000000001</v>
      </c>
      <c r="H169" s="1">
        <v>-19.187002</v>
      </c>
      <c r="I169">
        <v>-19.402076999999998</v>
      </c>
      <c r="J169">
        <f t="shared" si="17"/>
        <v>5.1295609999999989</v>
      </c>
      <c r="K169">
        <f t="shared" si="18"/>
        <v>4.1736360000000019</v>
      </c>
      <c r="L169">
        <f t="shared" si="19"/>
        <v>3.4687349999999988</v>
      </c>
      <c r="M169">
        <f t="shared" si="20"/>
        <v>3.4765000000000015</v>
      </c>
      <c r="N169">
        <f t="shared" si="21"/>
        <v>3.3551770000000012</v>
      </c>
    </row>
    <row r="170" spans="1:14" x14ac:dyDescent="0.2">
      <c r="A170" s="1">
        <v>169</v>
      </c>
      <c r="B170" s="6" t="s">
        <v>185</v>
      </c>
      <c r="C170" s="5">
        <v>3</v>
      </c>
      <c r="D170" s="8">
        <v>2.8954179999999998</v>
      </c>
      <c r="E170" s="1">
        <v>-24.541886000000002</v>
      </c>
      <c r="F170" s="1">
        <v>-22.252257</v>
      </c>
      <c r="G170" s="1">
        <v>-18.374241000000001</v>
      </c>
      <c r="H170" s="1">
        <v>-19.669972999999999</v>
      </c>
      <c r="I170">
        <v>-19.765864000000001</v>
      </c>
      <c r="J170">
        <f t="shared" si="17"/>
        <v>3.7961839999999967</v>
      </c>
      <c r="K170">
        <f t="shared" si="18"/>
        <v>2.6200240000000008</v>
      </c>
      <c r="L170">
        <f t="shared" si="19"/>
        <v>2.7230719999999984</v>
      </c>
      <c r="M170">
        <f t="shared" si="20"/>
        <v>2.9935290000000023</v>
      </c>
      <c r="N170">
        <f t="shared" si="21"/>
        <v>2.9913899999999991</v>
      </c>
    </row>
    <row r="171" spans="1:14" x14ac:dyDescent="0.2">
      <c r="A171" s="1">
        <v>170</v>
      </c>
      <c r="B171" s="6" t="s">
        <v>186</v>
      </c>
      <c r="C171" s="5">
        <v>3</v>
      </c>
      <c r="D171" s="8">
        <v>3.8154089999999998</v>
      </c>
      <c r="E171" s="1">
        <v>-21.535126999999999</v>
      </c>
      <c r="F171" s="1">
        <v>-20.095518999999999</v>
      </c>
      <c r="G171" s="1">
        <v>-16.685276000000002</v>
      </c>
      <c r="H171" s="1">
        <v>-18.315059999999999</v>
      </c>
      <c r="I171">
        <v>-18.215147999999999</v>
      </c>
      <c r="J171">
        <f t="shared" si="17"/>
        <v>6.8029429999999991</v>
      </c>
      <c r="K171">
        <f t="shared" si="18"/>
        <v>4.7767620000000015</v>
      </c>
      <c r="L171">
        <f t="shared" si="19"/>
        <v>4.412036999999998</v>
      </c>
      <c r="M171">
        <f t="shared" si="20"/>
        <v>4.3484420000000021</v>
      </c>
      <c r="N171">
        <f t="shared" si="21"/>
        <v>4.5421060000000004</v>
      </c>
    </row>
    <row r="172" spans="1:14" x14ac:dyDescent="0.2">
      <c r="A172" s="1">
        <v>171</v>
      </c>
      <c r="B172" s="6" t="s">
        <v>187</v>
      </c>
      <c r="C172" s="5">
        <v>3</v>
      </c>
      <c r="D172" s="8">
        <v>3.8512339999999998</v>
      </c>
      <c r="E172" s="1">
        <v>-20.828821000000001</v>
      </c>
      <c r="F172" s="1">
        <v>-18.689463</v>
      </c>
      <c r="G172" s="1">
        <v>-14.766147</v>
      </c>
      <c r="H172" s="1">
        <v>-16.321870000000001</v>
      </c>
      <c r="I172">
        <v>-16.297395000000002</v>
      </c>
      <c r="J172">
        <f t="shared" si="17"/>
        <v>7.509248999999997</v>
      </c>
      <c r="K172">
        <f t="shared" si="18"/>
        <v>6.182818000000001</v>
      </c>
      <c r="L172">
        <f t="shared" si="19"/>
        <v>6.3311659999999996</v>
      </c>
      <c r="M172">
        <f t="shared" si="20"/>
        <v>6.3416320000000006</v>
      </c>
      <c r="N172">
        <f t="shared" si="21"/>
        <v>6.459858999999998</v>
      </c>
    </row>
    <row r="173" spans="1:14" x14ac:dyDescent="0.2">
      <c r="A173" s="1">
        <v>172</v>
      </c>
      <c r="B173" s="6" t="s">
        <v>188</v>
      </c>
      <c r="C173" s="5">
        <v>3</v>
      </c>
      <c r="D173" s="8">
        <v>2.4503550000000001</v>
      </c>
      <c r="E173" s="1">
        <v>-23.043412</v>
      </c>
      <c r="F173" s="1">
        <v>-19.891276000000001</v>
      </c>
      <c r="G173" s="1">
        <v>-16.050901</v>
      </c>
      <c r="H173" s="1">
        <v>-17.866934000000001</v>
      </c>
      <c r="I173">
        <v>-17.963853</v>
      </c>
      <c r="J173">
        <f t="shared" si="17"/>
        <v>5.2946579999999983</v>
      </c>
      <c r="K173">
        <f t="shared" si="18"/>
        <v>4.9810049999999997</v>
      </c>
      <c r="L173">
        <f t="shared" si="19"/>
        <v>5.0464120000000001</v>
      </c>
      <c r="M173">
        <f t="shared" si="20"/>
        <v>4.7965680000000006</v>
      </c>
      <c r="N173">
        <f t="shared" si="21"/>
        <v>4.7934009999999994</v>
      </c>
    </row>
    <row r="174" spans="1:14" x14ac:dyDescent="0.2">
      <c r="A174" s="1">
        <v>173</v>
      </c>
      <c r="B174" s="6" t="s">
        <v>189</v>
      </c>
      <c r="C174" s="5">
        <v>3</v>
      </c>
      <c r="D174" s="8">
        <v>3.3187530000000001</v>
      </c>
      <c r="E174" s="1">
        <v>-22.863876000000001</v>
      </c>
      <c r="F174" s="1">
        <v>-20.720312</v>
      </c>
      <c r="G174" s="1">
        <v>-16.474661000000001</v>
      </c>
      <c r="H174" s="1">
        <v>-17.602371999999999</v>
      </c>
      <c r="I174">
        <v>-17.697379999999999</v>
      </c>
      <c r="J174">
        <f t="shared" si="17"/>
        <v>5.4741939999999971</v>
      </c>
      <c r="K174">
        <f t="shared" si="18"/>
        <v>4.1519690000000011</v>
      </c>
      <c r="L174">
        <f t="shared" si="19"/>
        <v>4.6226519999999987</v>
      </c>
      <c r="M174">
        <f t="shared" si="20"/>
        <v>5.0611300000000021</v>
      </c>
      <c r="N174">
        <f t="shared" si="21"/>
        <v>5.0598740000000006</v>
      </c>
    </row>
    <row r="175" spans="1:14" x14ac:dyDescent="0.2">
      <c r="A175" s="1">
        <v>174</v>
      </c>
      <c r="B175" s="6" t="s">
        <v>190</v>
      </c>
      <c r="C175" s="5">
        <v>3</v>
      </c>
      <c r="D175" s="8">
        <v>5.7900109999999998</v>
      </c>
      <c r="E175" s="1">
        <v>-20.938255000000002</v>
      </c>
      <c r="F175" s="1">
        <v>-18.305147999999999</v>
      </c>
      <c r="G175" s="1">
        <v>-15.669225000000001</v>
      </c>
      <c r="H175" s="1">
        <v>-17.212029000000001</v>
      </c>
      <c r="I175">
        <v>-17.095911999999998</v>
      </c>
      <c r="J175">
        <f t="shared" si="17"/>
        <v>7.3998149999999967</v>
      </c>
      <c r="K175">
        <f t="shared" si="18"/>
        <v>6.5671330000000019</v>
      </c>
      <c r="L175">
        <f t="shared" si="19"/>
        <v>5.4280879999999989</v>
      </c>
      <c r="M175">
        <f t="shared" si="20"/>
        <v>5.451473</v>
      </c>
      <c r="N175">
        <f t="shared" si="21"/>
        <v>5.6613420000000012</v>
      </c>
    </row>
    <row r="176" spans="1:14" x14ac:dyDescent="0.2">
      <c r="A176" s="1">
        <v>175</v>
      </c>
      <c r="B176" s="6" t="s">
        <v>191</v>
      </c>
      <c r="C176" s="5">
        <v>3</v>
      </c>
      <c r="D176" s="8">
        <v>3.6992470000000002</v>
      </c>
      <c r="E176" s="1">
        <v>-23.451350000000001</v>
      </c>
      <c r="F176" s="1">
        <v>-19.908732000000001</v>
      </c>
      <c r="G176" s="1">
        <v>-15.518343</v>
      </c>
      <c r="H176" s="1">
        <v>-16.809155000000001</v>
      </c>
      <c r="I176">
        <v>-16.781782</v>
      </c>
      <c r="J176">
        <f t="shared" si="17"/>
        <v>4.8867199999999968</v>
      </c>
      <c r="K176">
        <f t="shared" si="18"/>
        <v>4.9635490000000004</v>
      </c>
      <c r="L176">
        <f t="shared" si="19"/>
        <v>5.57897</v>
      </c>
      <c r="M176">
        <f t="shared" si="20"/>
        <v>5.8543470000000006</v>
      </c>
      <c r="N176">
        <f t="shared" si="21"/>
        <v>5.9754719999999999</v>
      </c>
    </row>
    <row r="177" spans="1:14" x14ac:dyDescent="0.2">
      <c r="A177" s="1">
        <v>176</v>
      </c>
      <c r="B177" s="6" t="s">
        <v>192</v>
      </c>
      <c r="C177" s="5">
        <v>3</v>
      </c>
      <c r="D177" s="8">
        <v>5.7310650000000001</v>
      </c>
      <c r="E177" s="1">
        <v>-22.401375999999999</v>
      </c>
      <c r="F177" s="1">
        <v>-18.528782</v>
      </c>
      <c r="G177" s="1">
        <v>-14.410038999999999</v>
      </c>
      <c r="H177" s="1">
        <v>-15.621193999999999</v>
      </c>
      <c r="I177">
        <v>-15.694784</v>
      </c>
      <c r="J177">
        <f t="shared" si="17"/>
        <v>5.9366939999999992</v>
      </c>
      <c r="K177">
        <f t="shared" si="18"/>
        <v>6.3434990000000013</v>
      </c>
      <c r="L177">
        <f t="shared" si="19"/>
        <v>6.6872740000000004</v>
      </c>
      <c r="M177">
        <f t="shared" si="20"/>
        <v>7.042308000000002</v>
      </c>
      <c r="N177">
        <f t="shared" si="21"/>
        <v>7.0624699999999994</v>
      </c>
    </row>
    <row r="178" spans="1:14" x14ac:dyDescent="0.2">
      <c r="A178" s="1">
        <v>177</v>
      </c>
      <c r="B178" s="6" t="s">
        <v>193</v>
      </c>
      <c r="C178" s="5">
        <v>3</v>
      </c>
      <c r="D178" s="8">
        <v>4.9200270000000002</v>
      </c>
      <c r="E178" s="1">
        <v>-20.608962999999999</v>
      </c>
      <c r="F178" s="1">
        <v>-19.184908</v>
      </c>
      <c r="G178" s="1">
        <v>-17.554652999999998</v>
      </c>
      <c r="H178" s="1">
        <v>-19.461286000000001</v>
      </c>
      <c r="I178">
        <v>-19.490642000000001</v>
      </c>
      <c r="J178">
        <f t="shared" si="17"/>
        <v>7.7291069999999991</v>
      </c>
      <c r="K178">
        <f t="shared" si="18"/>
        <v>5.6873730000000009</v>
      </c>
      <c r="L178">
        <f t="shared" si="19"/>
        <v>3.5426600000000015</v>
      </c>
      <c r="M178">
        <f t="shared" si="20"/>
        <v>3.202216</v>
      </c>
      <c r="N178">
        <f t="shared" si="21"/>
        <v>3.2666119999999985</v>
      </c>
    </row>
    <row r="179" spans="1:14" x14ac:dyDescent="0.2">
      <c r="A179" s="1">
        <v>178</v>
      </c>
      <c r="B179" s="6" t="s">
        <v>194</v>
      </c>
      <c r="C179" s="5">
        <v>3</v>
      </c>
      <c r="D179" s="8">
        <v>5.7528269999999999</v>
      </c>
      <c r="E179" s="1">
        <v>-21.554296000000001</v>
      </c>
      <c r="F179" s="1">
        <v>-18.219498999999999</v>
      </c>
      <c r="G179" s="1">
        <v>-14.072445</v>
      </c>
      <c r="H179" s="1">
        <v>-15.270447000000001</v>
      </c>
      <c r="I179">
        <v>-15.294892000000001</v>
      </c>
      <c r="J179">
        <f t="shared" si="17"/>
        <v>6.7837739999999975</v>
      </c>
      <c r="K179">
        <f t="shared" si="18"/>
        <v>6.652782000000002</v>
      </c>
      <c r="L179">
        <f t="shared" si="19"/>
        <v>7.0248679999999997</v>
      </c>
      <c r="M179">
        <f t="shared" si="20"/>
        <v>7.3930550000000004</v>
      </c>
      <c r="N179">
        <f t="shared" si="21"/>
        <v>7.4623619999999988</v>
      </c>
    </row>
    <row r="180" spans="1:14" x14ac:dyDescent="0.2">
      <c r="A180" s="1">
        <v>179</v>
      </c>
      <c r="B180" s="6" t="s">
        <v>195</v>
      </c>
      <c r="C180" s="5">
        <v>3</v>
      </c>
      <c r="D180" s="8">
        <v>6.1947530000000004</v>
      </c>
      <c r="E180" s="1">
        <v>-20.276022999999999</v>
      </c>
      <c r="F180" s="1">
        <v>-17.109511999999999</v>
      </c>
      <c r="G180" s="1">
        <v>-13.854031000000001</v>
      </c>
      <c r="H180" s="1">
        <v>-15.651527</v>
      </c>
      <c r="I180">
        <v>-15.571517</v>
      </c>
      <c r="J180">
        <f t="shared" si="17"/>
        <v>8.0620469999999997</v>
      </c>
      <c r="K180">
        <f t="shared" si="18"/>
        <v>7.7627690000000023</v>
      </c>
      <c r="L180">
        <f t="shared" si="19"/>
        <v>7.2432819999999989</v>
      </c>
      <c r="M180">
        <f t="shared" si="20"/>
        <v>7.0119750000000014</v>
      </c>
      <c r="N180">
        <f t="shared" si="21"/>
        <v>7.1857369999999996</v>
      </c>
    </row>
    <row r="181" spans="1:14" x14ac:dyDescent="0.2">
      <c r="A181" s="1">
        <v>180</v>
      </c>
      <c r="B181" s="6" t="s">
        <v>196</v>
      </c>
      <c r="C181" s="5">
        <v>3</v>
      </c>
      <c r="D181" s="8">
        <v>2.4731610000000002</v>
      </c>
      <c r="E181" s="1">
        <v>-23.043412</v>
      </c>
      <c r="F181" s="1">
        <v>-19.891276000000001</v>
      </c>
      <c r="G181" s="1">
        <v>-16.050901</v>
      </c>
      <c r="H181" s="1">
        <v>-17.866934000000001</v>
      </c>
      <c r="I181">
        <v>-17.963853</v>
      </c>
      <c r="J181">
        <f t="shared" si="17"/>
        <v>5.2946579999999983</v>
      </c>
      <c r="K181">
        <f t="shared" si="18"/>
        <v>4.9810049999999997</v>
      </c>
      <c r="L181">
        <f t="shared" si="19"/>
        <v>5.0464120000000001</v>
      </c>
      <c r="M181">
        <f t="shared" si="20"/>
        <v>4.7965680000000006</v>
      </c>
      <c r="N181">
        <f t="shared" si="21"/>
        <v>4.7934009999999994</v>
      </c>
    </row>
    <row r="182" spans="1:14" x14ac:dyDescent="0.2">
      <c r="A182" s="1">
        <v>181</v>
      </c>
      <c r="B182" s="6" t="s">
        <v>197</v>
      </c>
      <c r="C182" s="5">
        <v>3</v>
      </c>
      <c r="D182" s="8">
        <v>5.4012799999999999</v>
      </c>
      <c r="E182" s="1">
        <v>-19.126051</v>
      </c>
      <c r="F182" s="1">
        <v>-16.981090999999999</v>
      </c>
      <c r="G182" s="1">
        <v>-15.671454000000001</v>
      </c>
      <c r="H182" s="1">
        <v>-18.247558000000001</v>
      </c>
      <c r="I182">
        <v>-18.315462</v>
      </c>
      <c r="J182">
        <f t="shared" si="17"/>
        <v>9.212018999999998</v>
      </c>
      <c r="K182">
        <f t="shared" si="18"/>
        <v>7.8911900000000017</v>
      </c>
      <c r="L182">
        <f t="shared" si="19"/>
        <v>5.4258589999999991</v>
      </c>
      <c r="M182">
        <f t="shared" si="20"/>
        <v>4.4159439999999996</v>
      </c>
      <c r="N182">
        <f t="shared" si="21"/>
        <v>4.4417919999999995</v>
      </c>
    </row>
    <row r="183" spans="1:14" x14ac:dyDescent="0.2">
      <c r="A183" s="1">
        <v>182</v>
      </c>
      <c r="B183" s="6" t="s">
        <v>198</v>
      </c>
      <c r="C183" s="5">
        <v>3</v>
      </c>
      <c r="D183" s="8">
        <v>6.1432180000000001</v>
      </c>
      <c r="E183" s="1">
        <v>-20.530315999999999</v>
      </c>
      <c r="F183" s="1">
        <v>-18.287692</v>
      </c>
      <c r="G183" s="1">
        <v>-16.201782999999999</v>
      </c>
      <c r="H183" s="1">
        <v>-18.269808000000001</v>
      </c>
      <c r="I183">
        <v>-18.277982999999999</v>
      </c>
      <c r="J183">
        <f t="shared" si="17"/>
        <v>7.8077539999999992</v>
      </c>
      <c r="K183">
        <f t="shared" si="18"/>
        <v>6.5845890000000011</v>
      </c>
      <c r="L183">
        <f t="shared" si="19"/>
        <v>4.8955300000000008</v>
      </c>
      <c r="M183">
        <f t="shared" si="20"/>
        <v>4.393694</v>
      </c>
      <c r="N183">
        <f t="shared" si="21"/>
        <v>4.4792710000000007</v>
      </c>
    </row>
    <row r="184" spans="1:14" x14ac:dyDescent="0.2">
      <c r="A184" s="1">
        <v>183</v>
      </c>
      <c r="B184" s="6" t="s">
        <v>199</v>
      </c>
      <c r="C184" s="5">
        <v>3</v>
      </c>
      <c r="D184" s="8">
        <v>5.2221070000000003</v>
      </c>
      <c r="E184" s="1">
        <v>-23.653444</v>
      </c>
      <c r="F184" s="1">
        <v>-21.181685999999999</v>
      </c>
      <c r="G184" s="1">
        <v>-17.041052000000001</v>
      </c>
      <c r="H184" s="1">
        <v>-18.378685000000001</v>
      </c>
      <c r="I184">
        <v>-18.204730000000001</v>
      </c>
      <c r="J184">
        <f t="shared" si="17"/>
        <v>4.684625999999998</v>
      </c>
      <c r="K184">
        <f t="shared" si="18"/>
        <v>3.6905950000000018</v>
      </c>
      <c r="L184">
        <f t="shared" si="19"/>
        <v>4.0562609999999992</v>
      </c>
      <c r="M184">
        <f t="shared" si="20"/>
        <v>4.2848170000000003</v>
      </c>
      <c r="N184">
        <f t="shared" si="21"/>
        <v>4.5525239999999982</v>
      </c>
    </row>
    <row r="185" spans="1:14" x14ac:dyDescent="0.2">
      <c r="A185" s="1">
        <v>184</v>
      </c>
      <c r="B185" s="6" t="s">
        <v>200</v>
      </c>
      <c r="C185" s="5">
        <v>3</v>
      </c>
      <c r="D185" s="8">
        <v>5.8135469999999998</v>
      </c>
      <c r="E185" s="1">
        <v>-17.962916</v>
      </c>
      <c r="F185" s="1">
        <v>-17.735375999999999</v>
      </c>
      <c r="G185" s="1">
        <v>-18.139707000000001</v>
      </c>
      <c r="H185" s="1">
        <v>-20.290787000000002</v>
      </c>
      <c r="I185">
        <v>-20.335243999999999</v>
      </c>
      <c r="J185">
        <f t="shared" si="17"/>
        <v>10.375153999999998</v>
      </c>
      <c r="K185">
        <f t="shared" si="18"/>
        <v>7.1369050000000023</v>
      </c>
      <c r="L185">
        <f t="shared" si="19"/>
        <v>2.9576059999999984</v>
      </c>
      <c r="M185">
        <f t="shared" si="20"/>
        <v>2.3727149999999995</v>
      </c>
      <c r="N185">
        <f t="shared" si="21"/>
        <v>2.4220100000000002</v>
      </c>
    </row>
    <row r="186" spans="1:14" x14ac:dyDescent="0.2">
      <c r="A186" s="1">
        <v>185</v>
      </c>
      <c r="B186" s="6" t="s">
        <v>201</v>
      </c>
      <c r="C186" s="5">
        <v>3</v>
      </c>
      <c r="D186" s="8">
        <v>3.6678470000000001</v>
      </c>
      <c r="E186" s="1">
        <v>-22.849478999999999</v>
      </c>
      <c r="F186" s="1">
        <v>-20.439457999999998</v>
      </c>
      <c r="G186" s="1">
        <v>-16.552191000000001</v>
      </c>
      <c r="H186" s="1">
        <v>-17.891176999999999</v>
      </c>
      <c r="I186">
        <v>-17.693919999999999</v>
      </c>
      <c r="J186">
        <f t="shared" si="17"/>
        <v>5.4885909999999996</v>
      </c>
      <c r="K186">
        <f t="shared" si="18"/>
        <v>4.4328230000000026</v>
      </c>
      <c r="L186">
        <f t="shared" si="19"/>
        <v>4.5451219999999992</v>
      </c>
      <c r="M186">
        <f t="shared" si="20"/>
        <v>4.7723250000000021</v>
      </c>
      <c r="N186">
        <f t="shared" si="21"/>
        <v>5.0633340000000011</v>
      </c>
    </row>
    <row r="187" spans="1:14" x14ac:dyDescent="0.2">
      <c r="A187" s="1">
        <v>186</v>
      </c>
      <c r="B187" s="6" t="s">
        <v>202</v>
      </c>
      <c r="C187" s="5">
        <v>3</v>
      </c>
      <c r="D187" s="8">
        <v>5.9257109999999997</v>
      </c>
      <c r="E187" s="1">
        <v>-19.263359000000001</v>
      </c>
      <c r="F187" s="1">
        <v>-18.478811</v>
      </c>
      <c r="G187" s="1">
        <v>-15.401223999999999</v>
      </c>
      <c r="H187" s="1">
        <v>-16.249858</v>
      </c>
      <c r="I187">
        <v>-16.384602999999998</v>
      </c>
      <c r="J187">
        <f t="shared" si="17"/>
        <v>9.0747109999999971</v>
      </c>
      <c r="K187">
        <f t="shared" si="18"/>
        <v>6.3934700000000007</v>
      </c>
      <c r="L187">
        <f t="shared" si="19"/>
        <v>5.6960890000000006</v>
      </c>
      <c r="M187">
        <f t="shared" si="20"/>
        <v>6.4136440000000015</v>
      </c>
      <c r="N187">
        <f t="shared" si="21"/>
        <v>6.3726510000000012</v>
      </c>
    </row>
    <row r="188" spans="1:14" x14ac:dyDescent="0.2">
      <c r="A188" s="1">
        <v>187</v>
      </c>
      <c r="B188" s="6" t="s">
        <v>203</v>
      </c>
      <c r="C188" s="5">
        <v>3</v>
      </c>
      <c r="D188" s="8">
        <v>6.2905790000000001</v>
      </c>
      <c r="E188" s="1">
        <v>-21.707595999999999</v>
      </c>
      <c r="F188" s="1">
        <v>-20.363468000000001</v>
      </c>
      <c r="G188" s="1">
        <v>-17.617277999999999</v>
      </c>
      <c r="H188" s="1">
        <v>-18.638380000000002</v>
      </c>
      <c r="I188">
        <v>-18.736260000000001</v>
      </c>
      <c r="J188">
        <f t="shared" si="17"/>
        <v>6.6304739999999995</v>
      </c>
      <c r="K188">
        <f t="shared" si="18"/>
        <v>4.508813</v>
      </c>
      <c r="L188">
        <f t="shared" si="19"/>
        <v>3.4800350000000009</v>
      </c>
      <c r="M188">
        <f t="shared" si="20"/>
        <v>4.0251219999999996</v>
      </c>
      <c r="N188">
        <f t="shared" si="21"/>
        <v>4.0209939999999982</v>
      </c>
    </row>
    <row r="189" spans="1:14" x14ac:dyDescent="0.2">
      <c r="A189" s="1">
        <v>188</v>
      </c>
      <c r="B189" s="6" t="s">
        <v>204</v>
      </c>
      <c r="C189" s="5">
        <v>3</v>
      </c>
      <c r="D189" s="8">
        <v>5.44998</v>
      </c>
      <c r="E189" s="1">
        <v>-22.823553</v>
      </c>
      <c r="F189" s="1">
        <v>-20.386721999999999</v>
      </c>
      <c r="G189" s="1">
        <v>-18.839406</v>
      </c>
      <c r="H189" s="1">
        <v>-21.006350000000001</v>
      </c>
      <c r="I189">
        <v>-21.157098999999999</v>
      </c>
      <c r="J189">
        <f t="shared" si="17"/>
        <v>5.5145169999999979</v>
      </c>
      <c r="K189">
        <f t="shared" si="18"/>
        <v>4.4855590000000021</v>
      </c>
      <c r="L189">
        <f t="shared" si="19"/>
        <v>2.2579069999999994</v>
      </c>
      <c r="M189">
        <f t="shared" si="20"/>
        <v>1.657152</v>
      </c>
      <c r="N189">
        <f t="shared" si="21"/>
        <v>1.6001550000000009</v>
      </c>
    </row>
    <row r="190" spans="1:14" x14ac:dyDescent="0.2">
      <c r="A190" s="1">
        <v>189</v>
      </c>
      <c r="B190" s="6" t="s">
        <v>205</v>
      </c>
      <c r="C190" s="5">
        <v>3</v>
      </c>
      <c r="D190" s="8">
        <v>5.9346449999999997</v>
      </c>
      <c r="E190" s="1">
        <v>-20.934882000000002</v>
      </c>
      <c r="F190" s="1">
        <v>-19.983398999999999</v>
      </c>
      <c r="G190" s="1">
        <v>-19.414930999999999</v>
      </c>
      <c r="H190" s="1">
        <v>-21.786183999999999</v>
      </c>
      <c r="I190">
        <v>-21.852716000000001</v>
      </c>
      <c r="J190">
        <f t="shared" si="17"/>
        <v>7.4031879999999965</v>
      </c>
      <c r="K190">
        <f t="shared" si="18"/>
        <v>4.8888820000000024</v>
      </c>
      <c r="L190">
        <f t="shared" si="19"/>
        <v>1.6823820000000005</v>
      </c>
      <c r="M190">
        <f t="shared" si="20"/>
        <v>0.87731800000000248</v>
      </c>
      <c r="N190">
        <f t="shared" si="21"/>
        <v>0.90453799999999873</v>
      </c>
    </row>
    <row r="191" spans="1:14" x14ac:dyDescent="0.2">
      <c r="A191" s="1">
        <v>190</v>
      </c>
      <c r="B191" s="6" t="s">
        <v>206</v>
      </c>
      <c r="C191" s="5">
        <v>3</v>
      </c>
      <c r="D191" s="8">
        <v>6.0307490000000001</v>
      </c>
      <c r="E191" s="1">
        <v>-20.993919000000002</v>
      </c>
      <c r="F191" s="1">
        <v>-19.496832000000001</v>
      </c>
      <c r="G191" s="1">
        <v>-16.343824999999999</v>
      </c>
      <c r="H191" s="1">
        <v>-17.641938</v>
      </c>
      <c r="I191">
        <v>-17.735619</v>
      </c>
      <c r="J191">
        <f t="shared" si="17"/>
        <v>7.3441509999999965</v>
      </c>
      <c r="K191">
        <f t="shared" si="18"/>
        <v>5.3754489999999997</v>
      </c>
      <c r="L191">
        <f t="shared" si="19"/>
        <v>4.7534880000000008</v>
      </c>
      <c r="M191">
        <f t="shared" si="20"/>
        <v>5.0215640000000015</v>
      </c>
      <c r="N191">
        <f t="shared" si="21"/>
        <v>5.0216349999999998</v>
      </c>
    </row>
    <row r="192" spans="1:14" x14ac:dyDescent="0.2">
      <c r="A192" s="1">
        <v>191</v>
      </c>
      <c r="B192" s="6" t="s">
        <v>207</v>
      </c>
      <c r="C192" s="5">
        <v>3</v>
      </c>
      <c r="D192" s="8">
        <v>3.0138560000000001</v>
      </c>
      <c r="E192" s="1">
        <v>-22.863876000000001</v>
      </c>
      <c r="F192" s="1">
        <v>-20.720312</v>
      </c>
      <c r="G192" s="1">
        <v>-16.474661000000001</v>
      </c>
      <c r="H192" s="1">
        <v>-17.602371999999999</v>
      </c>
      <c r="I192">
        <v>-17.697379999999999</v>
      </c>
      <c r="J192">
        <f t="shared" si="17"/>
        <v>5.4741939999999971</v>
      </c>
      <c r="K192">
        <f t="shared" si="18"/>
        <v>4.1519690000000011</v>
      </c>
      <c r="L192">
        <f t="shared" si="19"/>
        <v>4.6226519999999987</v>
      </c>
      <c r="M192">
        <f t="shared" si="20"/>
        <v>5.0611300000000021</v>
      </c>
      <c r="N192">
        <f t="shared" si="21"/>
        <v>5.0598740000000006</v>
      </c>
    </row>
    <row r="193" spans="1:14" x14ac:dyDescent="0.2">
      <c r="A193" s="1">
        <v>192</v>
      </c>
      <c r="B193" s="6" t="s">
        <v>208</v>
      </c>
      <c r="C193" s="5">
        <v>3</v>
      </c>
      <c r="D193" s="8">
        <v>3.6845629999999998</v>
      </c>
      <c r="E193" s="1">
        <v>-21.990997</v>
      </c>
      <c r="F193" s="1">
        <v>-19.806905</v>
      </c>
      <c r="G193" s="1">
        <v>-15.581614</v>
      </c>
      <c r="H193" s="1">
        <v>-16.900393999999999</v>
      </c>
      <c r="I193">
        <v>-16.763078</v>
      </c>
      <c r="J193">
        <f t="shared" si="17"/>
        <v>6.3470729999999982</v>
      </c>
      <c r="K193">
        <f t="shared" si="18"/>
        <v>5.0653760000000005</v>
      </c>
      <c r="L193">
        <f t="shared" si="19"/>
        <v>5.5156989999999997</v>
      </c>
      <c r="M193">
        <f t="shared" si="20"/>
        <v>5.7631080000000026</v>
      </c>
      <c r="N193">
        <f t="shared" si="21"/>
        <v>5.9941759999999995</v>
      </c>
    </row>
    <row r="194" spans="1:14" x14ac:dyDescent="0.2">
      <c r="A194" s="1">
        <v>193</v>
      </c>
      <c r="B194" s="6" t="s">
        <v>209</v>
      </c>
      <c r="C194" s="5">
        <v>3</v>
      </c>
      <c r="D194" s="8">
        <v>5.3957009999999999</v>
      </c>
      <c r="E194" s="1">
        <v>-22.401375999999999</v>
      </c>
      <c r="F194" s="1">
        <v>-18.528782</v>
      </c>
      <c r="G194" s="1">
        <v>-14.410038999999999</v>
      </c>
      <c r="H194" s="1">
        <v>-15.621193999999999</v>
      </c>
      <c r="I194">
        <v>-15.694784</v>
      </c>
      <c r="J194">
        <f t="shared" si="17"/>
        <v>5.9366939999999992</v>
      </c>
      <c r="K194">
        <f t="shared" si="18"/>
        <v>6.3434990000000013</v>
      </c>
      <c r="L194">
        <f t="shared" si="19"/>
        <v>6.6872740000000004</v>
      </c>
      <c r="M194">
        <f t="shared" si="20"/>
        <v>7.042308000000002</v>
      </c>
      <c r="N194">
        <f t="shared" si="21"/>
        <v>7.0624699999999994</v>
      </c>
    </row>
    <row r="195" spans="1:14" x14ac:dyDescent="0.2">
      <c r="A195" s="1">
        <v>194</v>
      </c>
      <c r="B195" s="6" t="s">
        <v>210</v>
      </c>
      <c r="C195" s="5">
        <v>3</v>
      </c>
      <c r="D195" s="8">
        <v>5.2400510000000002</v>
      </c>
      <c r="E195" s="1">
        <v>-20.195169</v>
      </c>
      <c r="F195" s="1">
        <v>-18.612880000000001</v>
      </c>
      <c r="G195" s="1">
        <v>-15.146708</v>
      </c>
      <c r="H195" s="1">
        <v>-16.394670999999999</v>
      </c>
      <c r="I195">
        <v>-16.210833000000001</v>
      </c>
      <c r="J195">
        <f t="shared" ref="J195:J258" si="22">E195-E$2</f>
        <v>8.1429009999999984</v>
      </c>
      <c r="K195">
        <f t="shared" ref="K195:K258" si="23">F195-F$2</f>
        <v>6.2594010000000004</v>
      </c>
      <c r="L195">
        <f t="shared" ref="L195:L258" si="24">G195-G$2</f>
        <v>5.9506049999999995</v>
      </c>
      <c r="M195">
        <f t="shared" ref="M195:M258" si="25">H195-H$2</f>
        <v>6.2688310000000023</v>
      </c>
      <c r="N195">
        <f t="shared" ref="N195:N258" si="26">I195-I$2</f>
        <v>6.5464209999999987</v>
      </c>
    </row>
    <row r="196" spans="1:14" x14ac:dyDescent="0.2">
      <c r="A196" s="1">
        <v>195</v>
      </c>
      <c r="B196" s="6" t="s">
        <v>211</v>
      </c>
      <c r="C196" s="5">
        <v>3</v>
      </c>
      <c r="D196" s="8">
        <v>3.469287</v>
      </c>
      <c r="E196" s="1">
        <v>-21.154741000000001</v>
      </c>
      <c r="F196" s="1">
        <v>-19.487953999999998</v>
      </c>
      <c r="G196" s="1">
        <v>-16.626425999999999</v>
      </c>
      <c r="H196" s="1">
        <v>-18.646768000000002</v>
      </c>
      <c r="I196">
        <v>-18.659469000000001</v>
      </c>
      <c r="J196">
        <f t="shared" si="22"/>
        <v>7.183328999999997</v>
      </c>
      <c r="K196">
        <f t="shared" si="23"/>
        <v>5.3843270000000025</v>
      </c>
      <c r="L196">
        <f t="shared" si="24"/>
        <v>4.4708870000000012</v>
      </c>
      <c r="M196">
        <f t="shared" si="25"/>
        <v>4.0167339999999996</v>
      </c>
      <c r="N196">
        <f t="shared" si="26"/>
        <v>4.0977849999999982</v>
      </c>
    </row>
    <row r="197" spans="1:14" x14ac:dyDescent="0.2">
      <c r="A197" s="1">
        <v>196</v>
      </c>
      <c r="B197" s="6" t="s">
        <v>212</v>
      </c>
      <c r="C197" s="5">
        <v>3</v>
      </c>
      <c r="D197" s="8">
        <v>3.9298869999999999</v>
      </c>
      <c r="E197" s="1">
        <v>-23.208508999999999</v>
      </c>
      <c r="F197" s="1">
        <v>-20.698644999999999</v>
      </c>
      <c r="G197" s="1">
        <v>-17.628578000000001</v>
      </c>
      <c r="H197" s="1">
        <v>-19.187002</v>
      </c>
      <c r="I197">
        <v>-19.402076999999998</v>
      </c>
      <c r="J197">
        <f t="shared" si="22"/>
        <v>5.1295609999999989</v>
      </c>
      <c r="K197">
        <f t="shared" si="23"/>
        <v>4.1736360000000019</v>
      </c>
      <c r="L197">
        <f t="shared" si="24"/>
        <v>3.4687349999999988</v>
      </c>
      <c r="M197">
        <f t="shared" si="25"/>
        <v>3.4765000000000015</v>
      </c>
      <c r="N197">
        <f t="shared" si="26"/>
        <v>3.3551770000000012</v>
      </c>
    </row>
    <row r="198" spans="1:14" x14ac:dyDescent="0.2">
      <c r="A198" s="1">
        <v>197</v>
      </c>
      <c r="B198" s="6" t="s">
        <v>213</v>
      </c>
      <c r="C198" s="5">
        <v>3</v>
      </c>
      <c r="D198" s="8">
        <v>4.8892160000000002</v>
      </c>
      <c r="E198" s="1">
        <v>-17.693251</v>
      </c>
      <c r="F198" s="1">
        <v>-16.289155000000001</v>
      </c>
      <c r="G198" s="1">
        <v>-15.143317</v>
      </c>
      <c r="H198" s="1">
        <v>-17.612725999999999</v>
      </c>
      <c r="I198">
        <v>-17.559007999999999</v>
      </c>
      <c r="J198">
        <f t="shared" si="22"/>
        <v>10.644818999999998</v>
      </c>
      <c r="K198">
        <f t="shared" si="23"/>
        <v>8.583126</v>
      </c>
      <c r="L198">
        <f t="shared" si="24"/>
        <v>5.9539960000000001</v>
      </c>
      <c r="M198">
        <f t="shared" si="25"/>
        <v>5.0507760000000026</v>
      </c>
      <c r="N198">
        <f t="shared" si="26"/>
        <v>5.198246000000001</v>
      </c>
    </row>
    <row r="199" spans="1:14" x14ac:dyDescent="0.2">
      <c r="A199" s="1">
        <v>198</v>
      </c>
      <c r="B199" s="6" t="s">
        <v>214</v>
      </c>
      <c r="C199" s="5">
        <v>3</v>
      </c>
      <c r="D199" s="8">
        <v>6.0883960000000004</v>
      </c>
      <c r="E199" s="1">
        <v>-18.444496000000001</v>
      </c>
      <c r="F199" s="1">
        <v>-18.527864000000001</v>
      </c>
      <c r="G199" s="1">
        <v>-17.876611</v>
      </c>
      <c r="H199" s="1">
        <v>-19.495868999999999</v>
      </c>
      <c r="I199">
        <v>-19.523799</v>
      </c>
      <c r="J199">
        <f t="shared" si="22"/>
        <v>9.8935739999999974</v>
      </c>
      <c r="K199">
        <f t="shared" si="23"/>
        <v>6.344417</v>
      </c>
      <c r="L199">
        <f t="shared" si="24"/>
        <v>3.2207019999999993</v>
      </c>
      <c r="M199">
        <f t="shared" si="25"/>
        <v>3.1676330000000021</v>
      </c>
      <c r="N199">
        <f t="shared" si="26"/>
        <v>3.2334549999999993</v>
      </c>
    </row>
    <row r="200" spans="1:14" x14ac:dyDescent="0.2">
      <c r="A200" s="1">
        <v>199</v>
      </c>
      <c r="B200" s="6" t="s">
        <v>215</v>
      </c>
      <c r="C200" s="5">
        <v>3</v>
      </c>
      <c r="D200" s="8">
        <v>5.6196000000000002</v>
      </c>
      <c r="E200" s="1">
        <v>-17.237380000000002</v>
      </c>
      <c r="F200" s="1">
        <v>-16.577769</v>
      </c>
      <c r="G200" s="1">
        <v>-16.246979</v>
      </c>
      <c r="H200" s="1">
        <v>-19.027391000000001</v>
      </c>
      <c r="I200">
        <v>-19.011078000000001</v>
      </c>
      <c r="J200">
        <f t="shared" si="22"/>
        <v>11.100689999999997</v>
      </c>
      <c r="K200">
        <f t="shared" si="23"/>
        <v>8.294512000000001</v>
      </c>
      <c r="L200">
        <f t="shared" si="24"/>
        <v>4.8503340000000001</v>
      </c>
      <c r="M200">
        <f t="shared" si="25"/>
        <v>3.6361109999999996</v>
      </c>
      <c r="N200">
        <f t="shared" si="26"/>
        <v>3.7461759999999984</v>
      </c>
    </row>
    <row r="201" spans="1:14" x14ac:dyDescent="0.2">
      <c r="A201" s="1">
        <v>200</v>
      </c>
      <c r="B201" s="6" t="s">
        <v>216</v>
      </c>
      <c r="C201" s="5">
        <v>3</v>
      </c>
      <c r="D201" s="8">
        <v>5.5246089999999999</v>
      </c>
      <c r="E201" s="1">
        <v>-21.516102</v>
      </c>
      <c r="F201" s="1">
        <v>-18.885846000000001</v>
      </c>
      <c r="G201" s="1">
        <v>-15.806528999999999</v>
      </c>
      <c r="H201" s="1">
        <v>-17.408206</v>
      </c>
      <c r="I201">
        <v>-17.330133</v>
      </c>
      <c r="J201">
        <f t="shared" si="22"/>
        <v>6.8219679999999983</v>
      </c>
      <c r="K201">
        <f t="shared" si="23"/>
        <v>5.9864350000000002</v>
      </c>
      <c r="L201">
        <f t="shared" si="24"/>
        <v>5.2907840000000004</v>
      </c>
      <c r="M201">
        <f t="shared" si="25"/>
        <v>5.2552960000000013</v>
      </c>
      <c r="N201">
        <f t="shared" si="26"/>
        <v>5.4271209999999996</v>
      </c>
    </row>
    <row r="202" spans="1:14" x14ac:dyDescent="0.2">
      <c r="A202" s="1">
        <v>201</v>
      </c>
      <c r="B202" s="6" t="s">
        <v>217</v>
      </c>
      <c r="C202" s="5">
        <v>3</v>
      </c>
      <c r="D202" s="8">
        <v>2.5783800000000001</v>
      </c>
      <c r="E202" s="1">
        <v>-23.043412</v>
      </c>
      <c r="F202" s="1">
        <v>-19.891276000000001</v>
      </c>
      <c r="G202" s="1">
        <v>-16.050901</v>
      </c>
      <c r="H202" s="1">
        <v>-17.866934000000001</v>
      </c>
      <c r="I202">
        <v>-17.963853</v>
      </c>
      <c r="J202">
        <f t="shared" si="22"/>
        <v>5.2946579999999983</v>
      </c>
      <c r="K202">
        <f t="shared" si="23"/>
        <v>4.9810049999999997</v>
      </c>
      <c r="L202">
        <f t="shared" si="24"/>
        <v>5.0464120000000001</v>
      </c>
      <c r="M202">
        <f t="shared" si="25"/>
        <v>4.7965680000000006</v>
      </c>
      <c r="N202">
        <f t="shared" si="26"/>
        <v>4.7934009999999994</v>
      </c>
    </row>
    <row r="203" spans="1:14" x14ac:dyDescent="0.2">
      <c r="A203" s="1">
        <v>202</v>
      </c>
      <c r="B203" s="6" t="s">
        <v>218</v>
      </c>
      <c r="C203" s="5">
        <v>3</v>
      </c>
      <c r="D203" s="8">
        <v>3.9850620000000001</v>
      </c>
      <c r="E203" s="1">
        <v>-23.273057999999999</v>
      </c>
      <c r="F203" s="1">
        <v>-20.574120000000001</v>
      </c>
      <c r="G203" s="1">
        <v>-16.982202000000001</v>
      </c>
      <c r="H203" s="1">
        <v>-18.710393</v>
      </c>
      <c r="I203">
        <v>-18.649051</v>
      </c>
      <c r="J203">
        <f t="shared" si="22"/>
        <v>5.0650119999999994</v>
      </c>
      <c r="K203">
        <f t="shared" si="23"/>
        <v>4.2981610000000003</v>
      </c>
      <c r="L203">
        <f t="shared" si="24"/>
        <v>4.1151109999999989</v>
      </c>
      <c r="M203">
        <f t="shared" si="25"/>
        <v>3.9531090000000013</v>
      </c>
      <c r="N203">
        <f t="shared" si="26"/>
        <v>4.1082029999999996</v>
      </c>
    </row>
    <row r="204" spans="1:14" x14ac:dyDescent="0.2">
      <c r="A204" s="1">
        <v>203</v>
      </c>
      <c r="B204" s="6" t="s">
        <v>219</v>
      </c>
      <c r="C204" s="5">
        <v>3</v>
      </c>
      <c r="D204" s="8">
        <v>2.8196460000000001</v>
      </c>
      <c r="E204" s="1">
        <v>-21.610610999999999</v>
      </c>
      <c r="F204" s="1">
        <v>-19.199338999999998</v>
      </c>
      <c r="G204" s="1">
        <v>-15.522762999999999</v>
      </c>
      <c r="H204" s="1">
        <v>-17.232102000000001</v>
      </c>
      <c r="I204">
        <v>-17.207398999999999</v>
      </c>
      <c r="J204">
        <f t="shared" si="22"/>
        <v>6.7274589999999996</v>
      </c>
      <c r="K204">
        <f t="shared" si="23"/>
        <v>5.6729420000000026</v>
      </c>
      <c r="L204">
        <f t="shared" si="24"/>
        <v>5.5745500000000003</v>
      </c>
      <c r="M204">
        <f t="shared" si="25"/>
        <v>5.4314</v>
      </c>
      <c r="N204">
        <f t="shared" si="26"/>
        <v>5.5498550000000009</v>
      </c>
    </row>
    <row r="205" spans="1:14" x14ac:dyDescent="0.2">
      <c r="A205" s="1">
        <v>204</v>
      </c>
      <c r="B205" s="6" t="s">
        <v>220</v>
      </c>
      <c r="C205" s="5">
        <v>3</v>
      </c>
      <c r="D205" s="8">
        <v>4.0913810000000002</v>
      </c>
      <c r="E205" s="1">
        <v>-19.546759999999999</v>
      </c>
      <c r="F205" s="1">
        <v>-17.922246999999999</v>
      </c>
      <c r="G205" s="1">
        <v>-13.365558999999999</v>
      </c>
      <c r="H205" s="1">
        <v>-14.511872</v>
      </c>
      <c r="I205">
        <v>-14.411421000000001</v>
      </c>
      <c r="J205">
        <f t="shared" si="22"/>
        <v>8.7913099999999993</v>
      </c>
      <c r="K205">
        <f t="shared" si="23"/>
        <v>6.9500340000000023</v>
      </c>
      <c r="L205">
        <f t="shared" si="24"/>
        <v>7.7317540000000005</v>
      </c>
      <c r="M205">
        <f t="shared" si="25"/>
        <v>8.1516300000000008</v>
      </c>
      <c r="N205">
        <f t="shared" si="26"/>
        <v>8.3458329999999989</v>
      </c>
    </row>
    <row r="206" spans="1:14" x14ac:dyDescent="0.2">
      <c r="A206" s="1">
        <v>205</v>
      </c>
      <c r="B206" s="6" t="s">
        <v>221</v>
      </c>
      <c r="C206" s="5">
        <v>3</v>
      </c>
      <c r="D206" s="8">
        <v>4.3046189999999998</v>
      </c>
      <c r="E206" s="1">
        <v>-24.526323000000001</v>
      </c>
      <c r="F206" s="1">
        <v>-22.095092999999999</v>
      </c>
      <c r="G206" s="1">
        <v>-17.934099</v>
      </c>
      <c r="H206" s="1">
        <v>-19.080662</v>
      </c>
      <c r="I206">
        <v>-19.139032</v>
      </c>
      <c r="J206">
        <f t="shared" si="22"/>
        <v>3.8117469999999969</v>
      </c>
      <c r="K206">
        <f t="shared" si="23"/>
        <v>2.7771880000000024</v>
      </c>
      <c r="L206">
        <f t="shared" si="24"/>
        <v>3.163214</v>
      </c>
      <c r="M206">
        <f t="shared" si="25"/>
        <v>3.5828400000000009</v>
      </c>
      <c r="N206">
        <f t="shared" si="26"/>
        <v>3.6182219999999994</v>
      </c>
    </row>
    <row r="207" spans="1:14" x14ac:dyDescent="0.2">
      <c r="A207" s="1">
        <v>206</v>
      </c>
      <c r="B207" s="6" t="s">
        <v>222</v>
      </c>
      <c r="C207" s="5">
        <v>3</v>
      </c>
      <c r="D207" s="8">
        <v>4.3634779999999997</v>
      </c>
      <c r="E207" s="1">
        <v>-21.224769999999999</v>
      </c>
      <c r="F207" s="1">
        <v>-19.454191999999999</v>
      </c>
      <c r="G207" s="1">
        <v>-15.265139</v>
      </c>
      <c r="H207" s="1">
        <v>-16.579471999999999</v>
      </c>
      <c r="I207">
        <v>-16.479904999999999</v>
      </c>
      <c r="J207">
        <f t="shared" si="22"/>
        <v>7.1132999999999988</v>
      </c>
      <c r="K207">
        <f t="shared" si="23"/>
        <v>5.4180890000000019</v>
      </c>
      <c r="L207">
        <f t="shared" si="24"/>
        <v>5.8321740000000002</v>
      </c>
      <c r="M207">
        <f t="shared" si="25"/>
        <v>6.084030000000002</v>
      </c>
      <c r="N207">
        <f t="shared" si="26"/>
        <v>6.277349000000001</v>
      </c>
    </row>
    <row r="208" spans="1:14" x14ac:dyDescent="0.2">
      <c r="A208" s="1">
        <v>207</v>
      </c>
      <c r="B208" s="6" t="s">
        <v>223</v>
      </c>
      <c r="C208" s="5">
        <v>3</v>
      </c>
      <c r="D208" s="8">
        <v>4.4043010000000002</v>
      </c>
      <c r="E208" s="1">
        <v>-21.822285000000001</v>
      </c>
      <c r="F208" s="1">
        <v>-20.626273000000001</v>
      </c>
      <c r="G208" s="1">
        <v>-17.387779999999999</v>
      </c>
      <c r="H208" s="1">
        <v>-18.732952000000001</v>
      </c>
      <c r="I208">
        <v>-18.792888999999999</v>
      </c>
      <c r="J208">
        <f t="shared" si="22"/>
        <v>6.5157849999999975</v>
      </c>
      <c r="K208">
        <f t="shared" si="23"/>
        <v>4.2460079999999998</v>
      </c>
      <c r="L208">
        <f t="shared" si="24"/>
        <v>3.7095330000000004</v>
      </c>
      <c r="M208">
        <f t="shared" si="25"/>
        <v>3.9305500000000002</v>
      </c>
      <c r="N208">
        <f t="shared" si="26"/>
        <v>3.9643650000000008</v>
      </c>
    </row>
    <row r="209" spans="1:14" x14ac:dyDescent="0.2">
      <c r="A209" s="1">
        <v>208</v>
      </c>
      <c r="B209" s="6" t="s">
        <v>224</v>
      </c>
      <c r="C209" s="5">
        <v>3</v>
      </c>
      <c r="D209" s="8">
        <v>3.6314380000000002</v>
      </c>
      <c r="E209" s="1">
        <v>-23.451350000000001</v>
      </c>
      <c r="F209" s="1">
        <v>-19.908732000000001</v>
      </c>
      <c r="G209" s="1">
        <v>-15.518343</v>
      </c>
      <c r="H209" s="1">
        <v>-16.809155000000001</v>
      </c>
      <c r="I209">
        <v>-16.781782</v>
      </c>
      <c r="J209">
        <f t="shared" si="22"/>
        <v>4.8867199999999968</v>
      </c>
      <c r="K209">
        <f t="shared" si="23"/>
        <v>4.9635490000000004</v>
      </c>
      <c r="L209">
        <f t="shared" si="24"/>
        <v>5.57897</v>
      </c>
      <c r="M209">
        <f t="shared" si="25"/>
        <v>5.8543470000000006</v>
      </c>
      <c r="N209">
        <f t="shared" si="26"/>
        <v>5.9754719999999999</v>
      </c>
    </row>
    <row r="210" spans="1:14" x14ac:dyDescent="0.2">
      <c r="A210" s="1">
        <v>209</v>
      </c>
      <c r="B210" s="6" t="s">
        <v>225</v>
      </c>
      <c r="C210" s="5">
        <v>3</v>
      </c>
      <c r="D210" s="8">
        <v>6.3795900000000003</v>
      </c>
      <c r="E210" s="1">
        <v>-17.856794000000001</v>
      </c>
      <c r="F210" s="1">
        <v>-14.813869</v>
      </c>
      <c r="G210" s="1">
        <v>-10.904493</v>
      </c>
      <c r="H210" s="1">
        <v>-12.511654999999999</v>
      </c>
      <c r="I210">
        <v>-12.453253999999999</v>
      </c>
      <c r="J210">
        <f t="shared" si="22"/>
        <v>10.481275999999998</v>
      </c>
      <c r="K210">
        <f t="shared" si="23"/>
        <v>10.058412000000001</v>
      </c>
      <c r="L210">
        <f t="shared" si="24"/>
        <v>10.192819999999999</v>
      </c>
      <c r="M210">
        <f t="shared" si="25"/>
        <v>10.151847000000002</v>
      </c>
      <c r="N210">
        <f t="shared" si="26"/>
        <v>10.304</v>
      </c>
    </row>
    <row r="211" spans="1:14" x14ac:dyDescent="0.2">
      <c r="A211" s="1">
        <v>210</v>
      </c>
      <c r="B211" s="6" t="s">
        <v>226</v>
      </c>
      <c r="C211" s="5">
        <v>3</v>
      </c>
      <c r="D211" s="8">
        <v>3.0177800000000001</v>
      </c>
      <c r="E211" s="1">
        <v>-23.423798000000001</v>
      </c>
      <c r="F211" s="1">
        <v>-20.498842</v>
      </c>
      <c r="G211" s="1">
        <v>-16.109750999999999</v>
      </c>
      <c r="H211" s="1">
        <v>-17.535226000000002</v>
      </c>
      <c r="I211">
        <v>-17.519531000000001</v>
      </c>
      <c r="J211">
        <f t="shared" si="22"/>
        <v>4.9142719999999969</v>
      </c>
      <c r="K211">
        <f t="shared" si="23"/>
        <v>4.3734390000000012</v>
      </c>
      <c r="L211">
        <f t="shared" si="24"/>
        <v>4.9875620000000005</v>
      </c>
      <c r="M211">
        <f t="shared" si="25"/>
        <v>5.1282759999999996</v>
      </c>
      <c r="N211">
        <f t="shared" si="26"/>
        <v>5.237722999999999</v>
      </c>
    </row>
    <row r="212" spans="1:14" x14ac:dyDescent="0.2">
      <c r="A212" s="1">
        <v>211</v>
      </c>
      <c r="B212" s="6" t="s">
        <v>227</v>
      </c>
      <c r="C212" s="5">
        <v>3</v>
      </c>
      <c r="D212" s="8">
        <v>6.1355779999999998</v>
      </c>
      <c r="E212" s="1">
        <v>-17.770023999999999</v>
      </c>
      <c r="F212" s="1">
        <v>-17.466601000000001</v>
      </c>
      <c r="G212" s="1">
        <v>-16.791575999999999</v>
      </c>
      <c r="H212" s="1">
        <v>-18.275262000000001</v>
      </c>
      <c r="I212">
        <v>-18.346001000000001</v>
      </c>
      <c r="J212">
        <f t="shared" si="22"/>
        <v>10.568045999999999</v>
      </c>
      <c r="K212">
        <f t="shared" si="23"/>
        <v>7.4056800000000003</v>
      </c>
      <c r="L212">
        <f t="shared" si="24"/>
        <v>4.3057370000000006</v>
      </c>
      <c r="M212">
        <f t="shared" si="25"/>
        <v>4.3882399999999997</v>
      </c>
      <c r="N212">
        <f t="shared" si="26"/>
        <v>4.4112529999999985</v>
      </c>
    </row>
    <row r="213" spans="1:14" x14ac:dyDescent="0.2">
      <c r="A213" s="1">
        <v>212</v>
      </c>
      <c r="B213" s="6" t="s">
        <v>228</v>
      </c>
      <c r="C213" s="5">
        <v>3</v>
      </c>
      <c r="D213" s="8">
        <v>4.4421049999999997</v>
      </c>
      <c r="E213" s="1">
        <v>-18.946515999999999</v>
      </c>
      <c r="F213" s="1">
        <v>-17.810127000000001</v>
      </c>
      <c r="G213" s="1">
        <v>-16.095213999999999</v>
      </c>
      <c r="H213" s="1">
        <v>-17.982996</v>
      </c>
      <c r="I213">
        <v>-18.048988999999999</v>
      </c>
      <c r="J213">
        <f t="shared" si="22"/>
        <v>9.3915539999999993</v>
      </c>
      <c r="K213">
        <f t="shared" si="23"/>
        <v>7.0621539999999996</v>
      </c>
      <c r="L213">
        <f t="shared" si="24"/>
        <v>5.0020990000000012</v>
      </c>
      <c r="M213">
        <f t="shared" si="25"/>
        <v>4.6805060000000012</v>
      </c>
      <c r="N213">
        <f t="shared" si="26"/>
        <v>4.7082650000000008</v>
      </c>
    </row>
    <row r="214" spans="1:14" x14ac:dyDescent="0.2">
      <c r="A214" s="1">
        <v>213</v>
      </c>
      <c r="B214" s="6" t="s">
        <v>229</v>
      </c>
      <c r="C214" s="5">
        <v>3</v>
      </c>
      <c r="D214" s="8">
        <v>5.8427350000000002</v>
      </c>
      <c r="E214" s="1">
        <v>-17.712033000000002</v>
      </c>
      <c r="F214" s="1">
        <v>-17.447313000000001</v>
      </c>
      <c r="G214" s="1">
        <v>-15.660202</v>
      </c>
      <c r="H214" s="1">
        <v>-17.098051000000002</v>
      </c>
      <c r="I214">
        <v>-17.155255</v>
      </c>
      <c r="J214">
        <f t="shared" si="22"/>
        <v>10.626036999999997</v>
      </c>
      <c r="K214">
        <f t="shared" si="23"/>
        <v>7.4249679999999998</v>
      </c>
      <c r="L214">
        <f t="shared" si="24"/>
        <v>5.4371109999999998</v>
      </c>
      <c r="M214">
        <f t="shared" si="25"/>
        <v>5.5654509999999995</v>
      </c>
      <c r="N214">
        <f t="shared" si="26"/>
        <v>5.6019989999999993</v>
      </c>
    </row>
    <row r="215" spans="1:14" x14ac:dyDescent="0.2">
      <c r="A215" s="1">
        <v>214</v>
      </c>
      <c r="B215" s="6" t="s">
        <v>230</v>
      </c>
      <c r="C215" s="5">
        <v>3</v>
      </c>
      <c r="D215" s="8">
        <v>6.6409039999999999</v>
      </c>
      <c r="E215" s="1">
        <v>-20.910702000000001</v>
      </c>
      <c r="F215" s="1">
        <v>-18.895257000000001</v>
      </c>
      <c r="G215" s="1">
        <v>-16.260634</v>
      </c>
      <c r="H215" s="1">
        <v>-17.938101</v>
      </c>
      <c r="I215">
        <v>-17.833662</v>
      </c>
      <c r="J215">
        <f t="shared" si="22"/>
        <v>7.4273679999999977</v>
      </c>
      <c r="K215">
        <f t="shared" si="23"/>
        <v>5.9770240000000001</v>
      </c>
      <c r="L215">
        <f t="shared" si="24"/>
        <v>4.8366790000000002</v>
      </c>
      <c r="M215">
        <f t="shared" si="25"/>
        <v>4.7254010000000015</v>
      </c>
      <c r="N215">
        <f t="shared" si="26"/>
        <v>4.9235919999999993</v>
      </c>
    </row>
    <row r="216" spans="1:14" x14ac:dyDescent="0.2">
      <c r="A216" s="1">
        <v>215</v>
      </c>
      <c r="B216" s="6" t="s">
        <v>231</v>
      </c>
      <c r="C216" s="5">
        <v>3</v>
      </c>
      <c r="D216" s="8">
        <v>3.172123</v>
      </c>
      <c r="E216" s="1">
        <v>-24.541886000000002</v>
      </c>
      <c r="F216" s="1">
        <v>-22.252257</v>
      </c>
      <c r="G216" s="1">
        <v>-18.374241000000001</v>
      </c>
      <c r="H216" s="1">
        <v>-19.669972999999999</v>
      </c>
      <c r="I216">
        <v>-19.765864000000001</v>
      </c>
      <c r="J216">
        <f t="shared" si="22"/>
        <v>3.7961839999999967</v>
      </c>
      <c r="K216">
        <f t="shared" si="23"/>
        <v>2.6200240000000008</v>
      </c>
      <c r="L216">
        <f t="shared" si="24"/>
        <v>2.7230719999999984</v>
      </c>
      <c r="M216">
        <f t="shared" si="25"/>
        <v>2.9935290000000023</v>
      </c>
      <c r="N216">
        <f t="shared" si="26"/>
        <v>2.9913899999999991</v>
      </c>
    </row>
    <row r="217" spans="1:14" x14ac:dyDescent="0.2">
      <c r="A217" s="1">
        <v>216</v>
      </c>
      <c r="B217" s="6" t="s">
        <v>232</v>
      </c>
      <c r="C217" s="5">
        <v>3</v>
      </c>
      <c r="D217" s="8">
        <v>3.9271539999999998</v>
      </c>
      <c r="E217" s="1">
        <v>-21.562678999999999</v>
      </c>
      <c r="F217" s="1">
        <v>-19.505410000000001</v>
      </c>
      <c r="G217" s="1">
        <v>-16.093868000000001</v>
      </c>
      <c r="H217" s="1">
        <v>-17.588988000000001</v>
      </c>
      <c r="I217">
        <v>-17.477398000000001</v>
      </c>
      <c r="J217">
        <f t="shared" si="22"/>
        <v>6.7753909999999991</v>
      </c>
      <c r="K217">
        <f t="shared" si="23"/>
        <v>5.3668709999999997</v>
      </c>
      <c r="L217">
        <f t="shared" si="24"/>
        <v>5.0034449999999993</v>
      </c>
      <c r="M217">
        <f t="shared" si="25"/>
        <v>5.0745140000000006</v>
      </c>
      <c r="N217">
        <f t="shared" si="26"/>
        <v>5.2798559999999988</v>
      </c>
    </row>
    <row r="218" spans="1:14" x14ac:dyDescent="0.2">
      <c r="A218" s="1">
        <v>217</v>
      </c>
      <c r="B218" s="6" t="s">
        <v>233</v>
      </c>
      <c r="C218" s="5">
        <v>3</v>
      </c>
      <c r="D218" s="8">
        <v>5.879734</v>
      </c>
      <c r="E218" s="1">
        <v>-18.659357</v>
      </c>
      <c r="F218" s="1">
        <v>-17.279374000000001</v>
      </c>
      <c r="G218" s="1">
        <v>-15.392711</v>
      </c>
      <c r="H218" s="1">
        <v>-17.565103000000001</v>
      </c>
      <c r="I218">
        <v>-17.471249</v>
      </c>
      <c r="J218">
        <f t="shared" si="22"/>
        <v>9.6787129999999983</v>
      </c>
      <c r="K218">
        <f t="shared" si="23"/>
        <v>7.5929070000000003</v>
      </c>
      <c r="L218">
        <f t="shared" si="24"/>
        <v>5.7046019999999995</v>
      </c>
      <c r="M218">
        <f t="shared" si="25"/>
        <v>5.0983990000000006</v>
      </c>
      <c r="N218">
        <f t="shared" si="26"/>
        <v>5.2860049999999994</v>
      </c>
    </row>
    <row r="219" spans="1:14" x14ac:dyDescent="0.2">
      <c r="A219" s="1">
        <v>218</v>
      </c>
      <c r="B219" s="6" t="s">
        <v>234</v>
      </c>
      <c r="C219" s="5">
        <v>3</v>
      </c>
      <c r="D219" s="8">
        <v>6.2736660000000004</v>
      </c>
      <c r="E219" s="1">
        <v>-20.695414</v>
      </c>
      <c r="F219" s="1">
        <v>-19.09506</v>
      </c>
      <c r="G219" s="1">
        <v>-17.77946</v>
      </c>
      <c r="H219" s="1">
        <v>-19.589877000000001</v>
      </c>
      <c r="I219">
        <v>-19.716208000000002</v>
      </c>
      <c r="J219">
        <f t="shared" si="22"/>
        <v>7.6426559999999988</v>
      </c>
      <c r="K219">
        <f t="shared" si="23"/>
        <v>5.7772210000000008</v>
      </c>
      <c r="L219">
        <f t="shared" si="24"/>
        <v>3.3178529999999995</v>
      </c>
      <c r="M219">
        <f t="shared" si="25"/>
        <v>3.0736249999999998</v>
      </c>
      <c r="N219">
        <f t="shared" si="26"/>
        <v>3.0410459999999979</v>
      </c>
    </row>
    <row r="220" spans="1:14" x14ac:dyDescent="0.2">
      <c r="A220" s="1">
        <v>219</v>
      </c>
      <c r="B220" s="6" t="s">
        <v>235</v>
      </c>
      <c r="C220" s="5">
        <v>3</v>
      </c>
      <c r="D220" s="8">
        <v>5.8494330000000003</v>
      </c>
      <c r="E220" s="1">
        <v>-21.554296000000001</v>
      </c>
      <c r="F220" s="1">
        <v>-18.219498999999999</v>
      </c>
      <c r="G220" s="1">
        <v>-14.072445</v>
      </c>
      <c r="H220" s="1">
        <v>-15.270447000000001</v>
      </c>
      <c r="I220">
        <v>-15.294892000000001</v>
      </c>
      <c r="J220">
        <f t="shared" si="22"/>
        <v>6.7837739999999975</v>
      </c>
      <c r="K220">
        <f t="shared" si="23"/>
        <v>6.652782000000002</v>
      </c>
      <c r="L220">
        <f t="shared" si="24"/>
        <v>7.0248679999999997</v>
      </c>
      <c r="M220">
        <f t="shared" si="25"/>
        <v>7.3930550000000004</v>
      </c>
      <c r="N220">
        <f t="shared" si="26"/>
        <v>7.4623619999999988</v>
      </c>
    </row>
    <row r="221" spans="1:14" x14ac:dyDescent="0.2">
      <c r="A221" s="1">
        <v>220</v>
      </c>
      <c r="B221" s="6" t="s">
        <v>236</v>
      </c>
      <c r="C221" s="5">
        <v>3</v>
      </c>
      <c r="D221" s="8">
        <v>4.968432</v>
      </c>
      <c r="E221" s="1">
        <v>-19.740653999999999</v>
      </c>
      <c r="F221" s="1">
        <v>-17.975859</v>
      </c>
      <c r="G221" s="1">
        <v>-15.391927000000001</v>
      </c>
      <c r="H221" s="1">
        <v>-17.271667999999998</v>
      </c>
      <c r="I221">
        <v>-17.245638</v>
      </c>
      <c r="J221">
        <f t="shared" si="22"/>
        <v>8.5974159999999991</v>
      </c>
      <c r="K221">
        <f t="shared" si="23"/>
        <v>6.8964220000000012</v>
      </c>
      <c r="L221">
        <f t="shared" si="24"/>
        <v>5.705385999999999</v>
      </c>
      <c r="M221">
        <f t="shared" si="25"/>
        <v>5.3918340000000029</v>
      </c>
      <c r="N221">
        <f t="shared" si="26"/>
        <v>5.5116160000000001</v>
      </c>
    </row>
    <row r="222" spans="1:14" x14ac:dyDescent="0.2">
      <c r="A222" s="1">
        <v>221</v>
      </c>
      <c r="B222" s="6" t="s">
        <v>237</v>
      </c>
      <c r="C222" s="5">
        <v>3</v>
      </c>
      <c r="D222" s="8">
        <v>5.753152</v>
      </c>
      <c r="E222" s="1">
        <v>-18.485741999999998</v>
      </c>
      <c r="F222" s="1">
        <v>-15.994578000000001</v>
      </c>
      <c r="G222" s="1">
        <v>-10.706004999999999</v>
      </c>
      <c r="H222" s="1">
        <v>-10.831307000000001</v>
      </c>
      <c r="I222">
        <v>-10.9422</v>
      </c>
      <c r="J222">
        <f t="shared" si="22"/>
        <v>9.852328</v>
      </c>
      <c r="K222">
        <f t="shared" si="23"/>
        <v>8.8777030000000003</v>
      </c>
      <c r="L222">
        <f t="shared" si="24"/>
        <v>10.391308</v>
      </c>
      <c r="M222">
        <f t="shared" si="25"/>
        <v>11.832195</v>
      </c>
      <c r="N222">
        <f t="shared" si="26"/>
        <v>11.815054</v>
      </c>
    </row>
    <row r="223" spans="1:14" x14ac:dyDescent="0.2">
      <c r="A223" s="1">
        <v>222</v>
      </c>
      <c r="B223" s="6" t="s">
        <v>238</v>
      </c>
      <c r="C223" s="5">
        <v>3</v>
      </c>
      <c r="D223" s="8">
        <v>4.9798020000000003</v>
      </c>
      <c r="E223" s="1">
        <v>-20.624524999999998</v>
      </c>
      <c r="F223" s="1">
        <v>-19.342072000000002</v>
      </c>
      <c r="G223" s="1">
        <v>-17.994793999999999</v>
      </c>
      <c r="H223" s="1">
        <v>-20.050595999999999</v>
      </c>
      <c r="I223">
        <v>-20.117473</v>
      </c>
      <c r="J223">
        <f t="shared" si="22"/>
        <v>7.7135449999999999</v>
      </c>
      <c r="K223">
        <f t="shared" si="23"/>
        <v>5.5302089999999993</v>
      </c>
      <c r="L223">
        <f t="shared" si="24"/>
        <v>3.1025190000000009</v>
      </c>
      <c r="M223">
        <f t="shared" si="25"/>
        <v>2.6129060000000024</v>
      </c>
      <c r="N223">
        <f t="shared" si="26"/>
        <v>2.6397809999999993</v>
      </c>
    </row>
    <row r="224" spans="1:14" x14ac:dyDescent="0.2">
      <c r="A224" s="1">
        <v>223</v>
      </c>
      <c r="B224" s="6" t="s">
        <v>239</v>
      </c>
      <c r="C224" s="5">
        <v>3</v>
      </c>
      <c r="D224" s="8">
        <v>4.1237659999999998</v>
      </c>
      <c r="E224" s="1">
        <v>-22.361429000000001</v>
      </c>
      <c r="F224" s="1">
        <v>-20.389361999999998</v>
      </c>
      <c r="G224" s="1">
        <v>-17.290984000000002</v>
      </c>
      <c r="H224" s="1">
        <v>-18.836255000000001</v>
      </c>
      <c r="I224">
        <v>-19.002185000000001</v>
      </c>
      <c r="J224">
        <f t="shared" si="22"/>
        <v>5.9766409999999972</v>
      </c>
      <c r="K224">
        <f t="shared" si="23"/>
        <v>4.4829190000000025</v>
      </c>
      <c r="L224">
        <f t="shared" si="24"/>
        <v>3.8063289999999981</v>
      </c>
      <c r="M224">
        <f t="shared" si="25"/>
        <v>3.8272469999999998</v>
      </c>
      <c r="N224">
        <f t="shared" si="26"/>
        <v>3.7550689999999989</v>
      </c>
    </row>
    <row r="225" spans="1:14" x14ac:dyDescent="0.2">
      <c r="A225" s="1">
        <v>224</v>
      </c>
      <c r="B225" s="6" t="s">
        <v>240</v>
      </c>
      <c r="C225" s="5">
        <v>3</v>
      </c>
      <c r="D225" s="8">
        <v>5.6268269999999996</v>
      </c>
      <c r="E225" s="1">
        <v>-18.101189000000002</v>
      </c>
      <c r="F225" s="1">
        <v>-16.306611</v>
      </c>
      <c r="G225" s="1">
        <v>-14.610759</v>
      </c>
      <c r="H225" s="1">
        <v>-16.554946999999999</v>
      </c>
      <c r="I225">
        <v>-16.376937999999999</v>
      </c>
      <c r="J225">
        <f t="shared" si="22"/>
        <v>10.236880999999997</v>
      </c>
      <c r="K225">
        <f t="shared" si="23"/>
        <v>8.5656700000000008</v>
      </c>
      <c r="L225">
        <f t="shared" si="24"/>
        <v>6.4865539999999999</v>
      </c>
      <c r="M225">
        <f t="shared" si="25"/>
        <v>6.1085550000000026</v>
      </c>
      <c r="N225">
        <f t="shared" si="26"/>
        <v>6.3803160000000005</v>
      </c>
    </row>
    <row r="226" spans="1:14" x14ac:dyDescent="0.2">
      <c r="A226" s="1">
        <v>225</v>
      </c>
      <c r="B226" s="6" t="s">
        <v>241</v>
      </c>
      <c r="C226" s="5">
        <v>3</v>
      </c>
      <c r="D226" s="8">
        <v>5.4240440000000003</v>
      </c>
      <c r="E226" s="1">
        <v>-20.301030000000001</v>
      </c>
      <c r="F226" s="1">
        <v>-16.698526999999999</v>
      </c>
      <c r="G226" s="1">
        <v>-13.120547</v>
      </c>
      <c r="H226" s="1">
        <v>-14.900176999999999</v>
      </c>
      <c r="I226">
        <v>-14.804911000000001</v>
      </c>
      <c r="J226">
        <f t="shared" si="22"/>
        <v>8.0370399999999975</v>
      </c>
      <c r="K226">
        <f t="shared" si="23"/>
        <v>8.1737540000000024</v>
      </c>
      <c r="L226">
        <f t="shared" si="24"/>
        <v>7.9767659999999996</v>
      </c>
      <c r="M226">
        <f t="shared" si="25"/>
        <v>7.7633250000000018</v>
      </c>
      <c r="N226">
        <f t="shared" si="26"/>
        <v>7.9523429999999991</v>
      </c>
    </row>
    <row r="227" spans="1:14" x14ac:dyDescent="0.2">
      <c r="A227" s="1">
        <v>226</v>
      </c>
      <c r="B227" s="6" t="s">
        <v>242</v>
      </c>
      <c r="C227" s="5">
        <v>3</v>
      </c>
      <c r="D227" s="8">
        <v>4.2236739999999999</v>
      </c>
      <c r="E227" s="1">
        <v>-22.361429000000001</v>
      </c>
      <c r="F227" s="1">
        <v>-20.389361999999998</v>
      </c>
      <c r="G227" s="1">
        <v>-17.290984000000002</v>
      </c>
      <c r="H227" s="1">
        <v>-18.836255000000001</v>
      </c>
      <c r="I227">
        <v>-19.002185000000001</v>
      </c>
      <c r="J227">
        <f t="shared" si="22"/>
        <v>5.9766409999999972</v>
      </c>
      <c r="K227">
        <f t="shared" si="23"/>
        <v>4.4829190000000025</v>
      </c>
      <c r="L227">
        <f t="shared" si="24"/>
        <v>3.8063289999999981</v>
      </c>
      <c r="M227">
        <f t="shared" si="25"/>
        <v>3.8272469999999998</v>
      </c>
      <c r="N227">
        <f t="shared" si="26"/>
        <v>3.7550689999999989</v>
      </c>
    </row>
    <row r="228" spans="1:14" x14ac:dyDescent="0.2">
      <c r="A228" s="1">
        <v>227</v>
      </c>
      <c r="B228" s="6" t="s">
        <v>243</v>
      </c>
      <c r="C228" s="5">
        <v>3</v>
      </c>
      <c r="D228" s="8">
        <v>5.8534090000000001</v>
      </c>
      <c r="E228" s="1">
        <v>-19.600704</v>
      </c>
      <c r="F228" s="1">
        <v>-17.850635</v>
      </c>
      <c r="G228" s="1">
        <v>-15.084676999999999</v>
      </c>
      <c r="H228" s="1">
        <v>-16.318218000000002</v>
      </c>
      <c r="I228">
        <v>-16.459638999999999</v>
      </c>
      <c r="J228">
        <f t="shared" si="22"/>
        <v>8.737365999999998</v>
      </c>
      <c r="K228">
        <f t="shared" si="23"/>
        <v>7.0216460000000005</v>
      </c>
      <c r="L228">
        <f t="shared" si="24"/>
        <v>6.0126360000000005</v>
      </c>
      <c r="M228">
        <f t="shared" si="25"/>
        <v>6.3452839999999995</v>
      </c>
      <c r="N228">
        <f t="shared" si="26"/>
        <v>6.2976150000000004</v>
      </c>
    </row>
    <row r="229" spans="1:14" x14ac:dyDescent="0.2">
      <c r="A229" s="1">
        <v>228</v>
      </c>
      <c r="B229" s="6" t="s">
        <v>244</v>
      </c>
      <c r="C229" s="5">
        <v>3</v>
      </c>
      <c r="D229" s="8">
        <v>2.5037389999999999</v>
      </c>
      <c r="E229" s="1">
        <v>-22.196332000000002</v>
      </c>
      <c r="F229" s="1">
        <v>-19.581993000000001</v>
      </c>
      <c r="G229" s="1">
        <v>-15.713307</v>
      </c>
      <c r="H229" s="1">
        <v>-17.516186999999999</v>
      </c>
      <c r="I229">
        <v>-17.563960000000002</v>
      </c>
      <c r="J229">
        <f t="shared" si="22"/>
        <v>6.1417379999999966</v>
      </c>
      <c r="K229">
        <f t="shared" si="23"/>
        <v>5.2902880000000003</v>
      </c>
      <c r="L229">
        <f t="shared" si="24"/>
        <v>5.3840059999999994</v>
      </c>
      <c r="M229">
        <f t="shared" si="25"/>
        <v>5.1473150000000025</v>
      </c>
      <c r="N229">
        <f t="shared" si="26"/>
        <v>5.1932939999999981</v>
      </c>
    </row>
    <row r="230" spans="1:14" x14ac:dyDescent="0.2">
      <c r="A230" s="1">
        <v>229</v>
      </c>
      <c r="B230" s="6" t="s">
        <v>245</v>
      </c>
      <c r="C230" s="5">
        <v>3</v>
      </c>
      <c r="D230" s="8">
        <v>4.5970740000000001</v>
      </c>
      <c r="E230" s="1">
        <v>-18.086079000000002</v>
      </c>
      <c r="F230" s="1">
        <v>-16.403034000000002</v>
      </c>
      <c r="G230" s="1">
        <v>-13.985728999999999</v>
      </c>
      <c r="H230" s="1">
        <v>-15.881285999999999</v>
      </c>
      <c r="I230">
        <v>-15.926327000000001</v>
      </c>
      <c r="J230">
        <f t="shared" si="22"/>
        <v>10.251990999999997</v>
      </c>
      <c r="K230">
        <f t="shared" si="23"/>
        <v>8.4692469999999993</v>
      </c>
      <c r="L230">
        <f t="shared" si="24"/>
        <v>7.1115840000000006</v>
      </c>
      <c r="M230">
        <f t="shared" si="25"/>
        <v>6.7822160000000018</v>
      </c>
      <c r="N230">
        <f t="shared" si="26"/>
        <v>6.8309269999999991</v>
      </c>
    </row>
    <row r="231" spans="1:14" x14ac:dyDescent="0.2">
      <c r="A231" s="1">
        <v>230</v>
      </c>
      <c r="B231" s="6" t="s">
        <v>246</v>
      </c>
      <c r="C231" s="5">
        <v>3</v>
      </c>
      <c r="D231" s="8">
        <v>4.2952979999999998</v>
      </c>
      <c r="E231" s="1">
        <v>-22.849478999999999</v>
      </c>
      <c r="F231" s="1">
        <v>-20.439457999999998</v>
      </c>
      <c r="G231" s="1">
        <v>-16.552191000000001</v>
      </c>
      <c r="H231" s="1">
        <v>-17.891176999999999</v>
      </c>
      <c r="I231">
        <v>-17.693919999999999</v>
      </c>
      <c r="J231">
        <f t="shared" si="22"/>
        <v>5.4885909999999996</v>
      </c>
      <c r="K231">
        <f t="shared" si="23"/>
        <v>4.4328230000000026</v>
      </c>
      <c r="L231">
        <f t="shared" si="24"/>
        <v>4.5451219999999992</v>
      </c>
      <c r="M231">
        <f t="shared" si="25"/>
        <v>4.7723250000000021</v>
      </c>
      <c r="N231">
        <f t="shared" si="26"/>
        <v>5.0633340000000011</v>
      </c>
    </row>
    <row r="232" spans="1:14" x14ac:dyDescent="0.2">
      <c r="A232" s="1">
        <v>231</v>
      </c>
      <c r="B232" s="6" t="s">
        <v>247</v>
      </c>
      <c r="C232" s="5">
        <v>3</v>
      </c>
      <c r="D232" s="8">
        <v>4.5406339999999998</v>
      </c>
      <c r="E232" s="1">
        <v>-18.505168999999999</v>
      </c>
      <c r="F232" s="1">
        <v>-17.828208</v>
      </c>
      <c r="G232" s="1">
        <v>-14.278677999999999</v>
      </c>
      <c r="H232" s="1">
        <v>-15.642452</v>
      </c>
      <c r="I232">
        <v>-15.506930000000001</v>
      </c>
      <c r="J232">
        <f t="shared" si="22"/>
        <v>9.8329009999999997</v>
      </c>
      <c r="K232">
        <f t="shared" si="23"/>
        <v>7.0440730000000009</v>
      </c>
      <c r="L232">
        <f t="shared" si="24"/>
        <v>6.8186350000000004</v>
      </c>
      <c r="M232">
        <f t="shared" si="25"/>
        <v>7.0210500000000007</v>
      </c>
      <c r="N232">
        <f t="shared" si="26"/>
        <v>7.2503239999999991</v>
      </c>
    </row>
    <row r="233" spans="1:14" x14ac:dyDescent="0.2">
      <c r="A233" s="1">
        <v>232</v>
      </c>
      <c r="B233" s="6" t="s">
        <v>248</v>
      </c>
      <c r="C233" s="5">
        <v>3</v>
      </c>
      <c r="D233" s="8">
        <v>4.6684460000000003</v>
      </c>
      <c r="E233" s="1">
        <v>-21.108163999999999</v>
      </c>
      <c r="F233" s="1">
        <v>-18.868389000000001</v>
      </c>
      <c r="G233" s="1">
        <v>-16.339086999999999</v>
      </c>
      <c r="H233" s="1">
        <v>-18.465985</v>
      </c>
      <c r="I233">
        <v>-18.512204000000001</v>
      </c>
      <c r="J233">
        <f t="shared" si="22"/>
        <v>7.2299059999999997</v>
      </c>
      <c r="K233">
        <f t="shared" si="23"/>
        <v>6.0038920000000005</v>
      </c>
      <c r="L233">
        <f t="shared" si="24"/>
        <v>4.7582260000000005</v>
      </c>
      <c r="M233">
        <f t="shared" si="25"/>
        <v>4.1975170000000013</v>
      </c>
      <c r="N233">
        <f t="shared" si="26"/>
        <v>4.2450499999999991</v>
      </c>
    </row>
    <row r="234" spans="1:14" x14ac:dyDescent="0.2">
      <c r="A234" s="1">
        <v>233</v>
      </c>
      <c r="B234" s="6" t="s">
        <v>249</v>
      </c>
      <c r="C234" s="5">
        <v>3</v>
      </c>
      <c r="D234" s="8">
        <v>6.5214280000000002</v>
      </c>
      <c r="E234" s="1">
        <v>-21.880275999999999</v>
      </c>
      <c r="F234" s="1">
        <v>-20.64556</v>
      </c>
      <c r="G234" s="1">
        <v>-18.519154</v>
      </c>
      <c r="H234" s="1">
        <v>-19.910163000000001</v>
      </c>
      <c r="I234">
        <v>-19.983633999999999</v>
      </c>
      <c r="J234">
        <f t="shared" si="22"/>
        <v>6.4577939999999998</v>
      </c>
      <c r="K234">
        <f t="shared" si="23"/>
        <v>4.2267210000000013</v>
      </c>
      <c r="L234">
        <f t="shared" si="24"/>
        <v>2.5781589999999994</v>
      </c>
      <c r="M234">
        <f t="shared" si="25"/>
        <v>2.7533390000000004</v>
      </c>
      <c r="N234">
        <f t="shared" si="26"/>
        <v>2.7736200000000011</v>
      </c>
    </row>
    <row r="235" spans="1:14" x14ac:dyDescent="0.2">
      <c r="A235" s="1">
        <v>234</v>
      </c>
      <c r="B235" s="6" t="s">
        <v>250</v>
      </c>
      <c r="C235" s="5">
        <v>3</v>
      </c>
      <c r="D235" s="8">
        <v>3.742893</v>
      </c>
      <c r="E235" s="1">
        <v>-22.60427</v>
      </c>
      <c r="F235" s="1">
        <v>-19.599449</v>
      </c>
      <c r="G235" s="1">
        <v>-15.180749</v>
      </c>
      <c r="H235" s="1">
        <v>-16.458407999999999</v>
      </c>
      <c r="I235">
        <v>-16.381889999999999</v>
      </c>
      <c r="J235">
        <f t="shared" si="22"/>
        <v>5.7337999999999987</v>
      </c>
      <c r="K235">
        <f t="shared" si="23"/>
        <v>5.2728320000000011</v>
      </c>
      <c r="L235">
        <f t="shared" si="24"/>
        <v>5.9165639999999993</v>
      </c>
      <c r="M235">
        <f t="shared" si="25"/>
        <v>6.2050940000000026</v>
      </c>
      <c r="N235">
        <f t="shared" si="26"/>
        <v>6.3753640000000011</v>
      </c>
    </row>
    <row r="236" spans="1:14" x14ac:dyDescent="0.2">
      <c r="A236" s="1">
        <v>235</v>
      </c>
      <c r="B236" s="6" t="s">
        <v>251</v>
      </c>
      <c r="C236" s="5">
        <v>3</v>
      </c>
      <c r="D236" s="8">
        <v>3.8291010000000001</v>
      </c>
      <c r="E236" s="1">
        <v>-22.60427</v>
      </c>
      <c r="F236" s="1">
        <v>-19.599449</v>
      </c>
      <c r="G236" s="1">
        <v>-15.180749</v>
      </c>
      <c r="H236" s="1">
        <v>-16.458407999999999</v>
      </c>
      <c r="I236">
        <v>-16.381889999999999</v>
      </c>
      <c r="J236">
        <f t="shared" si="22"/>
        <v>5.7337999999999987</v>
      </c>
      <c r="K236">
        <f t="shared" si="23"/>
        <v>5.2728320000000011</v>
      </c>
      <c r="L236">
        <f t="shared" si="24"/>
        <v>5.9165639999999993</v>
      </c>
      <c r="M236">
        <f t="shared" si="25"/>
        <v>6.2050940000000026</v>
      </c>
      <c r="N236">
        <f t="shared" si="26"/>
        <v>6.3753640000000011</v>
      </c>
    </row>
    <row r="237" spans="1:14" x14ac:dyDescent="0.2">
      <c r="A237" s="1">
        <v>236</v>
      </c>
      <c r="B237" s="6" t="s">
        <v>252</v>
      </c>
      <c r="C237" s="5">
        <v>3</v>
      </c>
      <c r="D237" s="8">
        <v>4.0829610000000001</v>
      </c>
      <c r="E237" s="1">
        <v>-23.273057999999999</v>
      </c>
      <c r="F237" s="1">
        <v>-20.574120000000001</v>
      </c>
      <c r="G237" s="1">
        <v>-16.982202000000001</v>
      </c>
      <c r="H237" s="1">
        <v>-18.710393</v>
      </c>
      <c r="I237">
        <v>-18.649051</v>
      </c>
      <c r="J237">
        <f t="shared" si="22"/>
        <v>5.0650119999999994</v>
      </c>
      <c r="K237">
        <f t="shared" si="23"/>
        <v>4.2981610000000003</v>
      </c>
      <c r="L237">
        <f t="shared" si="24"/>
        <v>4.1151109999999989</v>
      </c>
      <c r="M237">
        <f t="shared" si="25"/>
        <v>3.9531090000000013</v>
      </c>
      <c r="N237">
        <f t="shared" si="26"/>
        <v>4.1082029999999996</v>
      </c>
    </row>
    <row r="238" spans="1:14" x14ac:dyDescent="0.2">
      <c r="A238" s="1">
        <v>237</v>
      </c>
      <c r="B238" s="6" t="s">
        <v>253</v>
      </c>
      <c r="C238" s="5">
        <v>3</v>
      </c>
      <c r="D238" s="8">
        <v>4.1374420000000001</v>
      </c>
      <c r="E238" s="1">
        <v>-21.840999</v>
      </c>
      <c r="F238" s="1">
        <v>-19.806114000000001</v>
      </c>
      <c r="G238" s="1">
        <v>-16.681419000000002</v>
      </c>
      <c r="H238" s="1">
        <v>-17.992685000000002</v>
      </c>
      <c r="I238">
        <v>-18.135511999999999</v>
      </c>
      <c r="J238">
        <f t="shared" si="22"/>
        <v>6.4970709999999983</v>
      </c>
      <c r="K238">
        <f t="shared" si="23"/>
        <v>5.0661670000000001</v>
      </c>
      <c r="L238">
        <f t="shared" si="24"/>
        <v>4.415893999999998</v>
      </c>
      <c r="M238">
        <f t="shared" si="25"/>
        <v>4.6708169999999996</v>
      </c>
      <c r="N238">
        <f t="shared" si="26"/>
        <v>4.6217420000000011</v>
      </c>
    </row>
    <row r="239" spans="1:14" x14ac:dyDescent="0.2">
      <c r="A239" s="1">
        <v>238</v>
      </c>
      <c r="B239" s="6" t="s">
        <v>254</v>
      </c>
      <c r="C239" s="5">
        <v>3</v>
      </c>
      <c r="D239" s="8">
        <v>5.3772970000000004</v>
      </c>
      <c r="E239" s="1">
        <v>-21.976472999999999</v>
      </c>
      <c r="F239" s="1">
        <v>-20.077438999999998</v>
      </c>
      <c r="G239" s="1">
        <v>-18.501812000000001</v>
      </c>
      <c r="H239" s="1">
        <v>-20.655602999999999</v>
      </c>
      <c r="I239">
        <v>-20.757207000000001</v>
      </c>
      <c r="J239">
        <f t="shared" si="22"/>
        <v>6.3615969999999997</v>
      </c>
      <c r="K239">
        <f t="shared" si="23"/>
        <v>4.7948420000000027</v>
      </c>
      <c r="L239">
        <f t="shared" si="24"/>
        <v>2.5955009999999987</v>
      </c>
      <c r="M239">
        <f t="shared" si="25"/>
        <v>2.0078990000000019</v>
      </c>
      <c r="N239">
        <f t="shared" si="26"/>
        <v>2.0000469999999986</v>
      </c>
    </row>
    <row r="240" spans="1:14" x14ac:dyDescent="0.2">
      <c r="A240" s="1">
        <v>239</v>
      </c>
      <c r="B240" s="6" t="s">
        <v>255</v>
      </c>
      <c r="C240" s="5">
        <v>3</v>
      </c>
      <c r="D240" s="8">
        <v>3.3684780000000001</v>
      </c>
      <c r="E240" s="1">
        <v>-22.44154</v>
      </c>
      <c r="F240" s="1">
        <v>-20.422001999999999</v>
      </c>
      <c r="G240" s="1">
        <v>-17.084748999999999</v>
      </c>
      <c r="H240" s="1">
        <v>-18.948955999999999</v>
      </c>
      <c r="I240">
        <v>-18.875990000000002</v>
      </c>
      <c r="J240">
        <f t="shared" si="22"/>
        <v>5.8965299999999985</v>
      </c>
      <c r="K240">
        <f t="shared" si="23"/>
        <v>4.4502790000000019</v>
      </c>
      <c r="L240">
        <f t="shared" si="24"/>
        <v>4.0125640000000011</v>
      </c>
      <c r="M240">
        <f t="shared" si="25"/>
        <v>3.7145460000000021</v>
      </c>
      <c r="N240">
        <f t="shared" si="26"/>
        <v>3.881263999999998</v>
      </c>
    </row>
    <row r="241" spans="1:14" x14ac:dyDescent="0.2">
      <c r="A241" s="1">
        <v>240</v>
      </c>
      <c r="B241" s="6" t="s">
        <v>256</v>
      </c>
      <c r="C241" s="5">
        <v>3</v>
      </c>
      <c r="D241" s="8">
        <v>3.6257779999999999</v>
      </c>
      <c r="E241" s="1">
        <v>-21.610610999999999</v>
      </c>
      <c r="F241" s="1">
        <v>-19.199338999999998</v>
      </c>
      <c r="G241" s="1">
        <v>-15.522762999999999</v>
      </c>
      <c r="H241" s="1">
        <v>-17.232102000000001</v>
      </c>
      <c r="I241">
        <v>-17.207398999999999</v>
      </c>
      <c r="J241">
        <f t="shared" si="22"/>
        <v>6.7274589999999996</v>
      </c>
      <c r="K241">
        <f t="shared" si="23"/>
        <v>5.6729420000000026</v>
      </c>
      <c r="L241">
        <f t="shared" si="24"/>
        <v>5.5745500000000003</v>
      </c>
      <c r="M241">
        <f t="shared" si="25"/>
        <v>5.4314</v>
      </c>
      <c r="N241">
        <f t="shared" si="26"/>
        <v>5.5498550000000009</v>
      </c>
    </row>
    <row r="242" spans="1:14" x14ac:dyDescent="0.2">
      <c r="A242" s="1">
        <v>241</v>
      </c>
      <c r="B242" s="6" t="s">
        <v>257</v>
      </c>
      <c r="C242" s="5">
        <v>3</v>
      </c>
      <c r="D242" s="8">
        <v>2.2898689999999999</v>
      </c>
      <c r="E242" s="1">
        <v>-21.675901</v>
      </c>
      <c r="F242" s="1">
        <v>-18.998745</v>
      </c>
      <c r="G242" s="1">
        <v>-15.103740999999999</v>
      </c>
      <c r="H242" s="1">
        <v>-16.672616999999999</v>
      </c>
      <c r="I242">
        <v>-16.697286999999999</v>
      </c>
      <c r="J242">
        <f t="shared" si="22"/>
        <v>6.6621689999999987</v>
      </c>
      <c r="K242">
        <f t="shared" si="23"/>
        <v>5.8735360000000014</v>
      </c>
      <c r="L242">
        <f t="shared" si="24"/>
        <v>5.9935720000000003</v>
      </c>
      <c r="M242">
        <f t="shared" si="25"/>
        <v>5.9908850000000022</v>
      </c>
      <c r="N242">
        <f t="shared" si="26"/>
        <v>6.0599670000000003</v>
      </c>
    </row>
    <row r="243" spans="1:14" x14ac:dyDescent="0.2">
      <c r="A243" s="1">
        <v>242</v>
      </c>
      <c r="B243" s="6" t="s">
        <v>258</v>
      </c>
      <c r="C243" s="5">
        <v>3</v>
      </c>
      <c r="D243" s="8">
        <v>4.1109929999999997</v>
      </c>
      <c r="E243" s="1">
        <v>-21.775708000000002</v>
      </c>
      <c r="F243" s="1">
        <v>-20.006708</v>
      </c>
      <c r="G243" s="1">
        <v>-17.100439999999999</v>
      </c>
      <c r="H243" s="1">
        <v>-18.55217</v>
      </c>
      <c r="I243">
        <v>-18.645623000000001</v>
      </c>
      <c r="J243">
        <f t="shared" si="22"/>
        <v>6.5623619999999967</v>
      </c>
      <c r="K243">
        <f t="shared" si="23"/>
        <v>4.8655730000000013</v>
      </c>
      <c r="L243">
        <f t="shared" si="24"/>
        <v>3.9968730000000008</v>
      </c>
      <c r="M243">
        <f t="shared" si="25"/>
        <v>4.1113320000000009</v>
      </c>
      <c r="N243">
        <f t="shared" si="26"/>
        <v>4.1116309999999991</v>
      </c>
    </row>
    <row r="244" spans="1:14" x14ac:dyDescent="0.2">
      <c r="A244" s="1">
        <v>243</v>
      </c>
      <c r="B244" s="6" t="s">
        <v>259</v>
      </c>
      <c r="C244" s="5">
        <v>3</v>
      </c>
      <c r="D244" s="8">
        <v>5.7815029999999998</v>
      </c>
      <c r="E244" s="1">
        <v>-20.340085999999999</v>
      </c>
      <c r="F244" s="1">
        <v>-19.470938</v>
      </c>
      <c r="G244" s="1">
        <v>-16.670119</v>
      </c>
      <c r="H244" s="1">
        <v>-17.444063</v>
      </c>
      <c r="I244">
        <v>-17.469694</v>
      </c>
      <c r="J244">
        <f t="shared" si="22"/>
        <v>7.9979839999999989</v>
      </c>
      <c r="K244">
        <f t="shared" si="23"/>
        <v>5.4013430000000007</v>
      </c>
      <c r="L244">
        <f t="shared" si="24"/>
        <v>4.4271940000000001</v>
      </c>
      <c r="M244">
        <f t="shared" si="25"/>
        <v>5.2194390000000013</v>
      </c>
      <c r="N244">
        <f t="shared" si="26"/>
        <v>5.2875599999999991</v>
      </c>
    </row>
    <row r="245" spans="1:14" x14ac:dyDescent="0.2">
      <c r="A245" s="1">
        <v>244</v>
      </c>
      <c r="B245" s="6" t="s">
        <v>260</v>
      </c>
      <c r="C245" s="5">
        <v>3</v>
      </c>
      <c r="D245" s="8">
        <v>6.2628329999999997</v>
      </c>
      <c r="E245" s="1">
        <v>-20.656409</v>
      </c>
      <c r="F245" s="1">
        <v>-17.717078000000001</v>
      </c>
      <c r="G245" s="1">
        <v>-13.912881</v>
      </c>
      <c r="H245" s="1">
        <v>-15.319819000000001</v>
      </c>
      <c r="I245">
        <v>-15.127196</v>
      </c>
      <c r="J245">
        <f t="shared" si="22"/>
        <v>7.6816609999999983</v>
      </c>
      <c r="K245">
        <f t="shared" si="23"/>
        <v>7.1552030000000002</v>
      </c>
      <c r="L245">
        <f t="shared" si="24"/>
        <v>7.1844319999999993</v>
      </c>
      <c r="M245">
        <f t="shared" si="25"/>
        <v>7.3436830000000004</v>
      </c>
      <c r="N245">
        <f t="shared" si="26"/>
        <v>7.630058</v>
      </c>
    </row>
    <row r="246" spans="1:14" x14ac:dyDescent="0.2">
      <c r="A246" s="1">
        <v>245</v>
      </c>
      <c r="B246" s="6" t="s">
        <v>261</v>
      </c>
      <c r="C246" s="5">
        <v>3</v>
      </c>
      <c r="D246" s="8">
        <v>3.8696320000000002</v>
      </c>
      <c r="E246" s="1">
        <v>-23.273057999999999</v>
      </c>
      <c r="F246" s="1">
        <v>-20.574120000000001</v>
      </c>
      <c r="G246" s="1">
        <v>-16.982202000000001</v>
      </c>
      <c r="H246" s="1">
        <v>-18.710393</v>
      </c>
      <c r="I246">
        <v>-18.649051</v>
      </c>
      <c r="J246">
        <f t="shared" si="22"/>
        <v>5.0650119999999994</v>
      </c>
      <c r="K246">
        <f t="shared" si="23"/>
        <v>4.2981610000000003</v>
      </c>
      <c r="L246">
        <f t="shared" si="24"/>
        <v>4.1151109999999989</v>
      </c>
      <c r="M246">
        <f t="shared" si="25"/>
        <v>3.9531090000000013</v>
      </c>
      <c r="N246">
        <f t="shared" si="26"/>
        <v>4.1082029999999996</v>
      </c>
    </row>
    <row r="247" spans="1:14" x14ac:dyDescent="0.2">
      <c r="A247" s="1">
        <v>246</v>
      </c>
      <c r="B247" s="6" t="s">
        <v>262</v>
      </c>
      <c r="C247" s="5">
        <v>3</v>
      </c>
      <c r="D247" s="8">
        <v>4.3081620000000003</v>
      </c>
      <c r="E247" s="1">
        <v>-19.793596000000001</v>
      </c>
      <c r="F247" s="1">
        <v>-18.119409999999998</v>
      </c>
      <c r="G247" s="1">
        <v>-16.432808000000001</v>
      </c>
      <c r="H247" s="1">
        <v>-18.333742000000001</v>
      </c>
      <c r="I247">
        <v>-18.448882000000001</v>
      </c>
      <c r="J247">
        <f t="shared" si="22"/>
        <v>8.5444739999999975</v>
      </c>
      <c r="K247">
        <f t="shared" si="23"/>
        <v>6.7528710000000025</v>
      </c>
      <c r="L247">
        <f t="shared" si="24"/>
        <v>4.6645049999999983</v>
      </c>
      <c r="M247">
        <f t="shared" si="25"/>
        <v>4.3297600000000003</v>
      </c>
      <c r="N247">
        <f t="shared" si="26"/>
        <v>4.3083719999999985</v>
      </c>
    </row>
    <row r="248" spans="1:14" x14ac:dyDescent="0.2">
      <c r="A248" s="1">
        <v>247</v>
      </c>
      <c r="B248" s="6" t="s">
        <v>263</v>
      </c>
      <c r="C248" s="5">
        <v>3</v>
      </c>
      <c r="D248" s="8">
        <v>6.0834320000000002</v>
      </c>
      <c r="E248" s="1">
        <v>-18.850318999999999</v>
      </c>
      <c r="F248" s="1">
        <v>-18.378249</v>
      </c>
      <c r="G248" s="1">
        <v>-16.112556000000001</v>
      </c>
      <c r="H248" s="1">
        <v>-17.237555</v>
      </c>
      <c r="I248">
        <v>-17.275417000000001</v>
      </c>
      <c r="J248">
        <f t="shared" si="22"/>
        <v>9.4877509999999994</v>
      </c>
      <c r="K248">
        <f t="shared" si="23"/>
        <v>6.4940320000000007</v>
      </c>
      <c r="L248">
        <f t="shared" si="24"/>
        <v>4.9847569999999983</v>
      </c>
      <c r="M248">
        <f t="shared" si="25"/>
        <v>5.4259470000000007</v>
      </c>
      <c r="N248">
        <f t="shared" si="26"/>
        <v>5.4818369999999987</v>
      </c>
    </row>
    <row r="249" spans="1:14" x14ac:dyDescent="0.2">
      <c r="A249" s="1">
        <v>248</v>
      </c>
      <c r="B249" s="6" t="s">
        <v>264</v>
      </c>
      <c r="C249" s="5">
        <v>3</v>
      </c>
      <c r="D249" s="8">
        <v>3.7020369999999998</v>
      </c>
      <c r="E249" s="1">
        <v>-21.535126999999999</v>
      </c>
      <c r="F249" s="1">
        <v>-20.095518999999999</v>
      </c>
      <c r="G249" s="1">
        <v>-16.685276000000002</v>
      </c>
      <c r="H249" s="1">
        <v>-18.315059999999999</v>
      </c>
      <c r="I249">
        <v>-18.215147999999999</v>
      </c>
      <c r="J249">
        <f t="shared" si="22"/>
        <v>6.8029429999999991</v>
      </c>
      <c r="K249">
        <f t="shared" si="23"/>
        <v>4.7767620000000015</v>
      </c>
      <c r="L249">
        <f t="shared" si="24"/>
        <v>4.412036999999998</v>
      </c>
      <c r="M249">
        <f t="shared" si="25"/>
        <v>4.3484420000000021</v>
      </c>
      <c r="N249">
        <f t="shared" si="26"/>
        <v>4.5421060000000004</v>
      </c>
    </row>
    <row r="250" spans="1:14" x14ac:dyDescent="0.2">
      <c r="A250" s="1">
        <v>249</v>
      </c>
      <c r="B250" s="6" t="s">
        <v>265</v>
      </c>
      <c r="C250" s="5">
        <v>3</v>
      </c>
      <c r="D250" s="8">
        <v>5.1780280000000003</v>
      </c>
      <c r="E250" s="1">
        <v>-20.301030000000001</v>
      </c>
      <c r="F250" s="1">
        <v>-16.698526999999999</v>
      </c>
      <c r="G250" s="1">
        <v>-13.120547</v>
      </c>
      <c r="H250" s="1">
        <v>-14.900176999999999</v>
      </c>
      <c r="I250">
        <v>-14.804911000000001</v>
      </c>
      <c r="J250">
        <f t="shared" si="22"/>
        <v>8.0370399999999975</v>
      </c>
      <c r="K250">
        <f t="shared" si="23"/>
        <v>8.1737540000000024</v>
      </c>
      <c r="L250">
        <f t="shared" si="24"/>
        <v>7.9767659999999996</v>
      </c>
      <c r="M250">
        <f t="shared" si="25"/>
        <v>7.7633250000000018</v>
      </c>
      <c r="N250">
        <f t="shared" si="26"/>
        <v>7.9523429999999991</v>
      </c>
    </row>
    <row r="251" spans="1:14" x14ac:dyDescent="0.2">
      <c r="A251" s="1">
        <v>250</v>
      </c>
      <c r="B251" s="6" t="s">
        <v>266</v>
      </c>
      <c r="C251" s="5">
        <v>3</v>
      </c>
      <c r="D251" s="8">
        <v>5.7329929999999996</v>
      </c>
      <c r="E251" s="1">
        <v>-19.997304</v>
      </c>
      <c r="F251" s="1">
        <v>-18.537344000000001</v>
      </c>
      <c r="G251" s="1">
        <v>-14.868695000000001</v>
      </c>
      <c r="H251" s="1">
        <v>-16.560433</v>
      </c>
      <c r="I251">
        <v>-16.524334</v>
      </c>
      <c r="J251">
        <f t="shared" si="22"/>
        <v>8.3407659999999986</v>
      </c>
      <c r="K251">
        <f t="shared" si="23"/>
        <v>6.334937</v>
      </c>
      <c r="L251">
        <f t="shared" si="24"/>
        <v>6.2286179999999991</v>
      </c>
      <c r="M251">
        <f t="shared" si="25"/>
        <v>6.1030690000000014</v>
      </c>
      <c r="N251">
        <f t="shared" si="26"/>
        <v>6.23292</v>
      </c>
    </row>
    <row r="252" spans="1:14" x14ac:dyDescent="0.2">
      <c r="A252" s="1">
        <v>251</v>
      </c>
      <c r="B252" s="6" t="s">
        <v>267</v>
      </c>
      <c r="C252" s="5">
        <v>3</v>
      </c>
      <c r="D252" s="8">
        <v>6.0300599999999998</v>
      </c>
      <c r="E252" s="1">
        <v>-19.355698</v>
      </c>
      <c r="F252" s="1">
        <v>-17.663936</v>
      </c>
      <c r="G252" s="1">
        <v>-16.602754999999998</v>
      </c>
      <c r="H252" s="1">
        <v>-19.091016</v>
      </c>
      <c r="I252">
        <v>-19.000661000000001</v>
      </c>
      <c r="J252">
        <f t="shared" si="22"/>
        <v>8.982371999999998</v>
      </c>
      <c r="K252">
        <f t="shared" si="23"/>
        <v>7.2083450000000013</v>
      </c>
      <c r="L252">
        <f t="shared" si="24"/>
        <v>4.4945580000000014</v>
      </c>
      <c r="M252">
        <f t="shared" si="25"/>
        <v>3.5724860000000014</v>
      </c>
      <c r="N252">
        <f t="shared" si="26"/>
        <v>3.7565929999999987</v>
      </c>
    </row>
    <row r="253" spans="1:14" x14ac:dyDescent="0.2">
      <c r="A253" s="1">
        <v>252</v>
      </c>
      <c r="B253" s="6" t="s">
        <v>268</v>
      </c>
      <c r="C253" s="5">
        <v>3</v>
      </c>
      <c r="D253" s="8">
        <v>2.9954179999999999</v>
      </c>
      <c r="E253" s="1">
        <v>-24.526323000000001</v>
      </c>
      <c r="F253" s="1">
        <v>-22.095092999999999</v>
      </c>
      <c r="G253" s="1">
        <v>-17.934099</v>
      </c>
      <c r="H253" s="1">
        <v>-19.080662</v>
      </c>
      <c r="I253">
        <v>-19.139032</v>
      </c>
      <c r="J253">
        <f t="shared" si="22"/>
        <v>3.8117469999999969</v>
      </c>
      <c r="K253">
        <f t="shared" si="23"/>
        <v>2.7771880000000024</v>
      </c>
      <c r="L253">
        <f t="shared" si="24"/>
        <v>3.163214</v>
      </c>
      <c r="M253">
        <f t="shared" si="25"/>
        <v>3.5828400000000009</v>
      </c>
      <c r="N253">
        <f t="shared" si="26"/>
        <v>3.6182219999999994</v>
      </c>
    </row>
    <row r="254" spans="1:14" x14ac:dyDescent="0.2">
      <c r="A254" s="1">
        <v>253</v>
      </c>
      <c r="B254" s="6" t="s">
        <v>269</v>
      </c>
      <c r="C254" s="5">
        <v>3</v>
      </c>
      <c r="D254" s="8">
        <v>6.1799670000000004</v>
      </c>
      <c r="E254" s="1">
        <v>-21.880275999999999</v>
      </c>
      <c r="F254" s="1">
        <v>-20.64556</v>
      </c>
      <c r="G254" s="1">
        <v>-18.519154</v>
      </c>
      <c r="H254" s="1">
        <v>-19.910163000000001</v>
      </c>
      <c r="I254">
        <v>-19.983633999999999</v>
      </c>
      <c r="J254">
        <f t="shared" si="22"/>
        <v>6.4577939999999998</v>
      </c>
      <c r="K254">
        <f t="shared" si="23"/>
        <v>4.2267210000000013</v>
      </c>
      <c r="L254">
        <f t="shared" si="24"/>
        <v>2.5781589999999994</v>
      </c>
      <c r="M254">
        <f t="shared" si="25"/>
        <v>2.7533390000000004</v>
      </c>
      <c r="N254">
        <f t="shared" si="26"/>
        <v>2.7736200000000011</v>
      </c>
    </row>
    <row r="255" spans="1:14" x14ac:dyDescent="0.2">
      <c r="A255" s="1">
        <v>254</v>
      </c>
      <c r="B255" s="6" t="s">
        <v>270</v>
      </c>
      <c r="C255" s="5">
        <v>3</v>
      </c>
      <c r="D255" s="8">
        <v>4.9740479999999998</v>
      </c>
      <c r="E255" s="1">
        <v>-19.511006999999999</v>
      </c>
      <c r="F255" s="1">
        <v>-17.293015</v>
      </c>
      <c r="G255" s="1">
        <v>-14.460626</v>
      </c>
      <c r="H255" s="1">
        <v>-16.42821</v>
      </c>
      <c r="I255">
        <v>-16.56044</v>
      </c>
      <c r="J255">
        <f t="shared" si="22"/>
        <v>8.827062999999999</v>
      </c>
      <c r="K255">
        <f t="shared" si="23"/>
        <v>7.5792660000000005</v>
      </c>
      <c r="L255">
        <f t="shared" si="24"/>
        <v>6.6366870000000002</v>
      </c>
      <c r="M255">
        <f t="shared" si="25"/>
        <v>6.2352920000000012</v>
      </c>
      <c r="N255">
        <f t="shared" si="26"/>
        <v>6.1968139999999998</v>
      </c>
    </row>
    <row r="256" spans="1:14" x14ac:dyDescent="0.2">
      <c r="A256" s="1">
        <v>255</v>
      </c>
      <c r="B256" s="6" t="s">
        <v>271</v>
      </c>
      <c r="C256" s="5">
        <v>3</v>
      </c>
      <c r="D256" s="8">
        <v>5.2497559999999996</v>
      </c>
      <c r="E256" s="1">
        <v>-18.278970999999999</v>
      </c>
      <c r="F256" s="1">
        <v>-16.671809</v>
      </c>
      <c r="G256" s="1">
        <v>-15.33386</v>
      </c>
      <c r="H256" s="1">
        <v>-17.896811</v>
      </c>
      <c r="I256">
        <v>-17.915569999999999</v>
      </c>
      <c r="J256">
        <f t="shared" si="22"/>
        <v>10.059099</v>
      </c>
      <c r="K256">
        <f t="shared" si="23"/>
        <v>8.2004720000000013</v>
      </c>
      <c r="L256">
        <f t="shared" si="24"/>
        <v>5.7634530000000002</v>
      </c>
      <c r="M256">
        <f t="shared" si="25"/>
        <v>4.7666910000000016</v>
      </c>
      <c r="N256">
        <f t="shared" si="26"/>
        <v>4.8416840000000008</v>
      </c>
    </row>
    <row r="257" spans="1:14" x14ac:dyDescent="0.2">
      <c r="A257" s="1">
        <v>256</v>
      </c>
      <c r="B257" s="6" t="s">
        <v>272</v>
      </c>
      <c r="C257" s="5">
        <v>3</v>
      </c>
      <c r="D257" s="8">
        <v>5.9749090000000002</v>
      </c>
      <c r="E257" s="1">
        <v>-20.110440000000001</v>
      </c>
      <c r="F257" s="1">
        <v>-18.788094000000001</v>
      </c>
      <c r="G257" s="1">
        <v>-15.738818</v>
      </c>
      <c r="H257" s="1">
        <v>-16.600605000000002</v>
      </c>
      <c r="I257">
        <v>-16.784496000000001</v>
      </c>
      <c r="J257">
        <f t="shared" si="22"/>
        <v>8.2276299999999978</v>
      </c>
      <c r="K257">
        <f t="shared" si="23"/>
        <v>6.084187</v>
      </c>
      <c r="L257">
        <f t="shared" si="24"/>
        <v>5.3584949999999996</v>
      </c>
      <c r="M257">
        <f t="shared" si="25"/>
        <v>6.0628969999999995</v>
      </c>
      <c r="N257">
        <f t="shared" si="26"/>
        <v>5.9727579999999989</v>
      </c>
    </row>
    <row r="258" spans="1:14" x14ac:dyDescent="0.2">
      <c r="A258" s="1">
        <v>257</v>
      </c>
      <c r="B258" s="6" t="s">
        <v>273</v>
      </c>
      <c r="C258" s="5">
        <v>3</v>
      </c>
      <c r="D258" s="8">
        <v>2.6128900000000002</v>
      </c>
      <c r="E258" s="1">
        <v>-22.44154</v>
      </c>
      <c r="F258" s="1">
        <v>-20.422001999999999</v>
      </c>
      <c r="G258" s="1">
        <v>-17.084748999999999</v>
      </c>
      <c r="H258" s="1">
        <v>-18.948955999999999</v>
      </c>
      <c r="I258">
        <v>-18.875990000000002</v>
      </c>
      <c r="J258">
        <f t="shared" si="22"/>
        <v>5.8965299999999985</v>
      </c>
      <c r="K258">
        <f t="shared" si="23"/>
        <v>4.4502790000000019</v>
      </c>
      <c r="L258">
        <f t="shared" si="24"/>
        <v>4.0125640000000011</v>
      </c>
      <c r="M258">
        <f t="shared" si="25"/>
        <v>3.7145460000000021</v>
      </c>
      <c r="N258">
        <f t="shared" si="26"/>
        <v>3.881263999999998</v>
      </c>
    </row>
    <row r="259" spans="1:14" x14ac:dyDescent="0.2">
      <c r="A259" s="1">
        <v>258</v>
      </c>
      <c r="B259" s="6" t="s">
        <v>274</v>
      </c>
      <c r="C259" s="5">
        <v>3</v>
      </c>
      <c r="D259" s="8">
        <v>3.9984329999999999</v>
      </c>
      <c r="E259" s="1">
        <v>-21.48855</v>
      </c>
      <c r="F259" s="1">
        <v>-19.475954999999999</v>
      </c>
      <c r="G259" s="1">
        <v>-16.397936999999999</v>
      </c>
      <c r="H259" s="1">
        <v>-18.134277999999998</v>
      </c>
      <c r="I259">
        <v>-18.067882000000001</v>
      </c>
      <c r="J259">
        <f t="shared" ref="J259:J322" si="27">E259-E$2</f>
        <v>6.8495199999999983</v>
      </c>
      <c r="K259">
        <f t="shared" ref="K259:K322" si="28">F259-F$2</f>
        <v>5.396326000000002</v>
      </c>
      <c r="L259">
        <f t="shared" ref="L259:L322" si="29">G259-G$2</f>
        <v>4.6993760000000009</v>
      </c>
      <c r="M259">
        <f t="shared" ref="M259:M322" si="30">H259-H$2</f>
        <v>4.5292240000000028</v>
      </c>
      <c r="N259">
        <f t="shared" ref="N259:N322" si="31">I259-I$2</f>
        <v>4.6893719999999988</v>
      </c>
    </row>
    <row r="260" spans="1:14" x14ac:dyDescent="0.2">
      <c r="A260" s="1">
        <v>259</v>
      </c>
      <c r="B260" s="6" t="s">
        <v>275</v>
      </c>
      <c r="C260" s="5">
        <v>3</v>
      </c>
      <c r="D260" s="8">
        <v>5.8088389999999999</v>
      </c>
      <c r="E260" s="1">
        <v>-17.818197000000001</v>
      </c>
      <c r="F260" s="1">
        <v>-14.856260000000001</v>
      </c>
      <c r="G260" s="1">
        <v>-9.9446510000000004</v>
      </c>
      <c r="H260" s="1">
        <v>-10.745122</v>
      </c>
      <c r="I260">
        <v>-10.808781</v>
      </c>
      <c r="J260">
        <f t="shared" si="27"/>
        <v>10.519872999999997</v>
      </c>
      <c r="K260">
        <f t="shared" si="28"/>
        <v>10.016021</v>
      </c>
      <c r="L260">
        <f t="shared" si="29"/>
        <v>11.152661999999999</v>
      </c>
      <c r="M260">
        <f t="shared" si="30"/>
        <v>11.918380000000001</v>
      </c>
      <c r="N260">
        <f t="shared" si="31"/>
        <v>11.948473</v>
      </c>
    </row>
    <row r="261" spans="1:14" x14ac:dyDescent="0.2">
      <c r="A261" s="1">
        <v>260</v>
      </c>
      <c r="B261" s="6" t="s">
        <v>276</v>
      </c>
      <c r="C261" s="5">
        <v>3</v>
      </c>
      <c r="D261" s="8">
        <v>5.0543659999999999</v>
      </c>
      <c r="E261" s="1">
        <v>-18.663927000000001</v>
      </c>
      <c r="F261" s="1">
        <v>-16.983732</v>
      </c>
      <c r="G261" s="1">
        <v>-14.123032</v>
      </c>
      <c r="H261" s="1">
        <v>-16.077463000000002</v>
      </c>
      <c r="I261">
        <v>-16.160547000000001</v>
      </c>
      <c r="J261">
        <f t="shared" si="27"/>
        <v>9.6741429999999973</v>
      </c>
      <c r="K261">
        <f t="shared" si="28"/>
        <v>7.8885490000000011</v>
      </c>
      <c r="L261">
        <f t="shared" si="29"/>
        <v>6.9742809999999995</v>
      </c>
      <c r="M261">
        <f t="shared" si="30"/>
        <v>6.5860389999999995</v>
      </c>
      <c r="N261">
        <f t="shared" si="31"/>
        <v>6.5967069999999985</v>
      </c>
    </row>
    <row r="262" spans="1:14" x14ac:dyDescent="0.2">
      <c r="A262" s="1">
        <v>261</v>
      </c>
      <c r="B262" s="6" t="s">
        <v>277</v>
      </c>
      <c r="C262" s="5">
        <v>3</v>
      </c>
      <c r="D262" s="8">
        <v>5.1012339999999998</v>
      </c>
      <c r="E262" s="1">
        <v>-21.23676</v>
      </c>
      <c r="F262" s="1">
        <v>-18.706918999999999</v>
      </c>
      <c r="G262" s="1">
        <v>-14.233589</v>
      </c>
      <c r="H262" s="1">
        <v>-15.264091000000001</v>
      </c>
      <c r="I262">
        <v>-15.115323999999999</v>
      </c>
      <c r="J262">
        <f t="shared" si="27"/>
        <v>7.101309999999998</v>
      </c>
      <c r="K262">
        <f t="shared" si="28"/>
        <v>6.1653620000000018</v>
      </c>
      <c r="L262">
        <f t="shared" si="29"/>
        <v>6.8637239999999995</v>
      </c>
      <c r="M262">
        <f t="shared" si="30"/>
        <v>7.3994110000000006</v>
      </c>
      <c r="N262">
        <f t="shared" si="31"/>
        <v>7.6419300000000003</v>
      </c>
    </row>
    <row r="263" spans="1:14" x14ac:dyDescent="0.2">
      <c r="A263" s="1">
        <v>262</v>
      </c>
      <c r="B263" s="6" t="s">
        <v>278</v>
      </c>
      <c r="C263" s="5">
        <v>3</v>
      </c>
      <c r="D263" s="8">
        <v>4.9063850000000002</v>
      </c>
      <c r="E263" s="1">
        <v>-19.574313</v>
      </c>
      <c r="F263" s="1">
        <v>-17.332138</v>
      </c>
      <c r="G263" s="1">
        <v>-12.774151</v>
      </c>
      <c r="H263" s="1">
        <v>-13.7858</v>
      </c>
      <c r="I263">
        <v>-13.673672</v>
      </c>
      <c r="J263">
        <f t="shared" si="27"/>
        <v>8.7637569999999982</v>
      </c>
      <c r="K263">
        <f t="shared" si="28"/>
        <v>7.5401430000000005</v>
      </c>
      <c r="L263">
        <f t="shared" si="29"/>
        <v>8.3231619999999999</v>
      </c>
      <c r="M263">
        <f t="shared" si="30"/>
        <v>8.8777020000000011</v>
      </c>
      <c r="N263">
        <f t="shared" si="31"/>
        <v>9.0835819999999998</v>
      </c>
    </row>
    <row r="264" spans="1:14" x14ac:dyDescent="0.2">
      <c r="A264" s="1">
        <v>263</v>
      </c>
      <c r="B264" s="6" t="s">
        <v>279</v>
      </c>
      <c r="C264" s="5">
        <v>3</v>
      </c>
      <c r="D264" s="8">
        <v>5.8897440000000003</v>
      </c>
      <c r="E264" s="1">
        <v>-22.823553</v>
      </c>
      <c r="F264" s="1">
        <v>-20.386721999999999</v>
      </c>
      <c r="G264" s="1">
        <v>-18.839406</v>
      </c>
      <c r="H264" s="1">
        <v>-21.006350000000001</v>
      </c>
      <c r="I264">
        <v>-21.157098999999999</v>
      </c>
      <c r="J264">
        <f t="shared" si="27"/>
        <v>5.5145169999999979</v>
      </c>
      <c r="K264">
        <f t="shared" si="28"/>
        <v>4.4855590000000021</v>
      </c>
      <c r="L264">
        <f t="shared" si="29"/>
        <v>2.2579069999999994</v>
      </c>
      <c r="M264">
        <f t="shared" si="30"/>
        <v>1.657152</v>
      </c>
      <c r="N264">
        <f t="shared" si="31"/>
        <v>1.6001550000000009</v>
      </c>
    </row>
    <row r="265" spans="1:14" x14ac:dyDescent="0.2">
      <c r="A265" s="1">
        <v>264</v>
      </c>
      <c r="B265" s="6" t="s">
        <v>280</v>
      </c>
      <c r="C265" s="5">
        <v>3</v>
      </c>
      <c r="D265" s="8">
        <v>6.1309050000000003</v>
      </c>
      <c r="E265" s="1">
        <v>-18.010093999999999</v>
      </c>
      <c r="F265" s="1">
        <v>-16.957837999999999</v>
      </c>
      <c r="G265" s="1">
        <v>-14.449327</v>
      </c>
      <c r="H265" s="1">
        <v>-15.879588</v>
      </c>
      <c r="I265">
        <v>-15.894622</v>
      </c>
      <c r="J265">
        <f t="shared" si="27"/>
        <v>10.327976</v>
      </c>
      <c r="K265">
        <f t="shared" si="28"/>
        <v>7.9144430000000021</v>
      </c>
      <c r="L265">
        <f t="shared" si="29"/>
        <v>6.6479859999999995</v>
      </c>
      <c r="M265">
        <f t="shared" si="30"/>
        <v>6.7839140000000011</v>
      </c>
      <c r="N265">
        <f t="shared" si="31"/>
        <v>6.8626319999999996</v>
      </c>
    </row>
    <row r="266" spans="1:14" x14ac:dyDescent="0.2">
      <c r="A266" s="1">
        <v>265</v>
      </c>
      <c r="B266" s="6" t="s">
        <v>281</v>
      </c>
      <c r="C266" s="5">
        <v>3</v>
      </c>
      <c r="D266" s="8">
        <v>2.6076199999999998</v>
      </c>
      <c r="E266" s="1">
        <v>-23.710955999999999</v>
      </c>
      <c r="F266" s="1">
        <v>-21.029595</v>
      </c>
      <c r="G266" s="1">
        <v>-16.812255</v>
      </c>
      <c r="H266" s="1">
        <v>-17.953119000000001</v>
      </c>
      <c r="I266">
        <v>-18.097272</v>
      </c>
      <c r="J266">
        <f t="shared" si="27"/>
        <v>4.6271139999999988</v>
      </c>
      <c r="K266">
        <f t="shared" si="28"/>
        <v>3.8426860000000005</v>
      </c>
      <c r="L266">
        <f t="shared" si="29"/>
        <v>4.2850579999999994</v>
      </c>
      <c r="M266">
        <f t="shared" si="30"/>
        <v>4.7103830000000002</v>
      </c>
      <c r="N266">
        <f t="shared" si="31"/>
        <v>4.6599819999999994</v>
      </c>
    </row>
    <row r="267" spans="1:14" x14ac:dyDescent="0.2">
      <c r="A267" s="1">
        <v>266</v>
      </c>
      <c r="B267" s="6" t="s">
        <v>282</v>
      </c>
      <c r="C267" s="5">
        <v>3</v>
      </c>
      <c r="D267" s="8">
        <v>3.8103349999999998</v>
      </c>
      <c r="E267" s="1">
        <v>-22.576716999999999</v>
      </c>
      <c r="F267" s="1">
        <v>-20.189558999999999</v>
      </c>
      <c r="G267" s="1">
        <v>-15.772157</v>
      </c>
      <c r="H267" s="1">
        <v>-17.184479</v>
      </c>
      <c r="I267">
        <v>-17.119638999999999</v>
      </c>
      <c r="J267">
        <f t="shared" si="27"/>
        <v>5.7613529999999997</v>
      </c>
      <c r="K267">
        <f t="shared" si="28"/>
        <v>4.6827220000000018</v>
      </c>
      <c r="L267">
        <f t="shared" si="29"/>
        <v>5.3251559999999998</v>
      </c>
      <c r="M267">
        <f t="shared" si="30"/>
        <v>5.4790230000000015</v>
      </c>
      <c r="N267">
        <f t="shared" si="31"/>
        <v>5.6376150000000003</v>
      </c>
    </row>
    <row r="268" spans="1:14" x14ac:dyDescent="0.2">
      <c r="A268" s="1">
        <v>267</v>
      </c>
      <c r="B268" s="6" t="s">
        <v>283</v>
      </c>
      <c r="C268" s="5">
        <v>3</v>
      </c>
      <c r="D268" s="8">
        <v>3.5340989999999999</v>
      </c>
      <c r="E268" s="1">
        <v>-20.121040000000001</v>
      </c>
      <c r="F268" s="1">
        <v>-18.583424999999998</v>
      </c>
      <c r="G268" s="1">
        <v>-15.450777</v>
      </c>
      <c r="H268" s="1">
        <v>-16.939961</v>
      </c>
      <c r="I268">
        <v>-16.801317000000001</v>
      </c>
      <c r="J268">
        <f t="shared" si="27"/>
        <v>8.2170299999999976</v>
      </c>
      <c r="K268">
        <f t="shared" si="28"/>
        <v>6.2888560000000027</v>
      </c>
      <c r="L268">
        <f t="shared" si="29"/>
        <v>5.6465359999999993</v>
      </c>
      <c r="M268">
        <f t="shared" si="30"/>
        <v>5.7235410000000009</v>
      </c>
      <c r="N268">
        <f t="shared" si="31"/>
        <v>5.9559369999999987</v>
      </c>
    </row>
    <row r="269" spans="1:14" x14ac:dyDescent="0.2">
      <c r="A269" s="1">
        <v>268</v>
      </c>
      <c r="B269" s="6" t="s">
        <v>284</v>
      </c>
      <c r="C269" s="5">
        <v>3</v>
      </c>
      <c r="D269" s="8">
        <v>5.1269220000000004</v>
      </c>
      <c r="E269" s="1">
        <v>-20.178552</v>
      </c>
      <c r="F269" s="1">
        <v>-18.431332999999999</v>
      </c>
      <c r="G269" s="1">
        <v>-15.22198</v>
      </c>
      <c r="H269" s="1">
        <v>-16.514393999999999</v>
      </c>
      <c r="I269">
        <v>-16.693859</v>
      </c>
      <c r="J269">
        <f t="shared" si="27"/>
        <v>8.1595179999999985</v>
      </c>
      <c r="K269">
        <f t="shared" si="28"/>
        <v>6.4409480000000023</v>
      </c>
      <c r="L269">
        <f t="shared" si="29"/>
        <v>5.8753329999999995</v>
      </c>
      <c r="M269">
        <f t="shared" si="30"/>
        <v>6.1491080000000018</v>
      </c>
      <c r="N269">
        <f t="shared" si="31"/>
        <v>6.0633949999999999</v>
      </c>
    </row>
    <row r="270" spans="1:14" x14ac:dyDescent="0.2">
      <c r="A270" s="1">
        <v>269</v>
      </c>
      <c r="B270" s="6" t="s">
        <v>285</v>
      </c>
      <c r="C270" s="5">
        <v>3</v>
      </c>
      <c r="D270" s="8">
        <v>4.6065170000000002</v>
      </c>
      <c r="E270" s="1">
        <v>-18.909136</v>
      </c>
      <c r="F270" s="1">
        <v>-17.823740000000001</v>
      </c>
      <c r="G270" s="1">
        <v>-15.494474</v>
      </c>
      <c r="H270" s="1">
        <v>-17.510231999999998</v>
      </c>
      <c r="I270">
        <v>-17.472577999999999</v>
      </c>
      <c r="J270">
        <f t="shared" si="27"/>
        <v>9.4289339999999982</v>
      </c>
      <c r="K270">
        <f t="shared" si="28"/>
        <v>7.0485410000000002</v>
      </c>
      <c r="L270">
        <f t="shared" si="29"/>
        <v>5.6028389999999995</v>
      </c>
      <c r="M270">
        <f t="shared" si="30"/>
        <v>5.1532700000000027</v>
      </c>
      <c r="N270">
        <f t="shared" si="31"/>
        <v>5.284676000000001</v>
      </c>
    </row>
    <row r="271" spans="1:14" x14ac:dyDescent="0.2">
      <c r="A271" s="1">
        <v>270</v>
      </c>
      <c r="B271" s="6" t="s">
        <v>286</v>
      </c>
      <c r="C271" s="5">
        <v>3</v>
      </c>
      <c r="D271" s="8">
        <v>5.1793829999999996</v>
      </c>
      <c r="E271" s="1">
        <v>-23.653444</v>
      </c>
      <c r="F271" s="1">
        <v>-21.181685999999999</v>
      </c>
      <c r="G271" s="1">
        <v>-17.041052000000001</v>
      </c>
      <c r="H271" s="1">
        <v>-18.378685000000001</v>
      </c>
      <c r="I271">
        <v>-18.204730000000001</v>
      </c>
      <c r="J271">
        <f t="shared" si="27"/>
        <v>4.684625999999998</v>
      </c>
      <c r="K271">
        <f t="shared" si="28"/>
        <v>3.6905950000000018</v>
      </c>
      <c r="L271">
        <f t="shared" si="29"/>
        <v>4.0562609999999992</v>
      </c>
      <c r="M271">
        <f t="shared" si="30"/>
        <v>4.2848170000000003</v>
      </c>
      <c r="N271">
        <f t="shared" si="31"/>
        <v>4.5525239999999982</v>
      </c>
    </row>
    <row r="272" spans="1:14" x14ac:dyDescent="0.2">
      <c r="A272" s="1">
        <v>271</v>
      </c>
      <c r="B272" s="6" t="s">
        <v>287</v>
      </c>
      <c r="C272" s="5">
        <v>3</v>
      </c>
      <c r="D272" s="8">
        <v>4.2526029999999997</v>
      </c>
      <c r="E272" s="1">
        <v>-22.361429000000001</v>
      </c>
      <c r="F272" s="1">
        <v>-20.389361999999998</v>
      </c>
      <c r="G272" s="1">
        <v>-17.290984000000002</v>
      </c>
      <c r="H272" s="1">
        <v>-18.836255000000001</v>
      </c>
      <c r="I272">
        <v>-19.002185000000001</v>
      </c>
      <c r="J272">
        <f t="shared" si="27"/>
        <v>5.9766409999999972</v>
      </c>
      <c r="K272">
        <f t="shared" si="28"/>
        <v>4.4829190000000025</v>
      </c>
      <c r="L272">
        <f t="shared" si="29"/>
        <v>3.8063289999999981</v>
      </c>
      <c r="M272">
        <f t="shared" si="30"/>
        <v>3.8272469999999998</v>
      </c>
      <c r="N272">
        <f t="shared" si="31"/>
        <v>3.7550689999999989</v>
      </c>
    </row>
    <row r="273" spans="1:14" x14ac:dyDescent="0.2">
      <c r="A273" s="1">
        <v>272</v>
      </c>
      <c r="B273" s="6" t="s">
        <v>288</v>
      </c>
      <c r="C273" s="5">
        <v>3</v>
      </c>
      <c r="D273" s="8">
        <v>6.1260019999999997</v>
      </c>
      <c r="E273" s="1">
        <v>-19.436039000000001</v>
      </c>
      <c r="F273" s="1">
        <v>-18.760902999999999</v>
      </c>
      <c r="G273" s="1">
        <v>-16.303099</v>
      </c>
      <c r="H273" s="1">
        <v>-17.521640000000001</v>
      </c>
      <c r="I273">
        <v>-17.631978</v>
      </c>
      <c r="J273">
        <f t="shared" si="27"/>
        <v>8.9020309999999974</v>
      </c>
      <c r="K273">
        <f t="shared" si="28"/>
        <v>6.111378000000002</v>
      </c>
      <c r="L273">
        <f t="shared" si="29"/>
        <v>4.7942140000000002</v>
      </c>
      <c r="M273">
        <f t="shared" si="30"/>
        <v>5.1418619999999997</v>
      </c>
      <c r="N273">
        <f t="shared" si="31"/>
        <v>5.1252759999999995</v>
      </c>
    </row>
    <row r="274" spans="1:14" x14ac:dyDescent="0.2">
      <c r="A274" s="1">
        <v>273</v>
      </c>
      <c r="B274" s="6" t="s">
        <v>289</v>
      </c>
      <c r="C274" s="5">
        <v>3</v>
      </c>
      <c r="D274" s="8">
        <v>4.4717419999999999</v>
      </c>
      <c r="E274" s="1">
        <v>-21.516102</v>
      </c>
      <c r="F274" s="1">
        <v>-18.885846000000001</v>
      </c>
      <c r="G274" s="1">
        <v>-15.806528999999999</v>
      </c>
      <c r="H274" s="1">
        <v>-17.408206</v>
      </c>
      <c r="I274">
        <v>-17.330133</v>
      </c>
      <c r="J274">
        <f t="shared" si="27"/>
        <v>6.8219679999999983</v>
      </c>
      <c r="K274">
        <f t="shared" si="28"/>
        <v>5.9864350000000002</v>
      </c>
      <c r="L274">
        <f t="shared" si="29"/>
        <v>5.2907840000000004</v>
      </c>
      <c r="M274">
        <f t="shared" si="30"/>
        <v>5.2552960000000013</v>
      </c>
      <c r="N274">
        <f t="shared" si="31"/>
        <v>5.4271209999999996</v>
      </c>
    </row>
    <row r="275" spans="1:14" x14ac:dyDescent="0.2">
      <c r="A275" s="1">
        <v>274</v>
      </c>
      <c r="B275" s="6" t="s">
        <v>290</v>
      </c>
      <c r="C275" s="5">
        <v>3</v>
      </c>
      <c r="D275" s="8">
        <v>4.9545269999999997</v>
      </c>
      <c r="E275" s="1">
        <v>-20.301030000000001</v>
      </c>
      <c r="F275" s="1">
        <v>-16.698526999999999</v>
      </c>
      <c r="G275" s="1">
        <v>-13.120547</v>
      </c>
      <c r="H275" s="1">
        <v>-14.900176999999999</v>
      </c>
      <c r="I275">
        <v>-14.804911000000001</v>
      </c>
      <c r="J275">
        <f t="shared" si="27"/>
        <v>8.0370399999999975</v>
      </c>
      <c r="K275">
        <f t="shared" si="28"/>
        <v>8.1737540000000024</v>
      </c>
      <c r="L275">
        <f t="shared" si="29"/>
        <v>7.9767659999999996</v>
      </c>
      <c r="M275">
        <f t="shared" si="30"/>
        <v>7.7633250000000018</v>
      </c>
      <c r="N275">
        <f t="shared" si="31"/>
        <v>7.9523429999999991</v>
      </c>
    </row>
    <row r="276" spans="1:14" x14ac:dyDescent="0.2">
      <c r="A276" s="1">
        <v>275</v>
      </c>
      <c r="B276" s="6" t="s">
        <v>291</v>
      </c>
      <c r="C276" s="5">
        <v>3</v>
      </c>
      <c r="D276" s="8">
        <v>4.5171099999999997</v>
      </c>
      <c r="E276" s="1">
        <v>-22.849478999999999</v>
      </c>
      <c r="F276" s="1">
        <v>-20.439457999999998</v>
      </c>
      <c r="G276" s="1">
        <v>-16.552191000000001</v>
      </c>
      <c r="H276" s="1">
        <v>-17.891176999999999</v>
      </c>
      <c r="I276">
        <v>-17.693919999999999</v>
      </c>
      <c r="J276">
        <f t="shared" si="27"/>
        <v>5.4885909999999996</v>
      </c>
      <c r="K276">
        <f t="shared" si="28"/>
        <v>4.4328230000000026</v>
      </c>
      <c r="L276">
        <f t="shared" si="29"/>
        <v>4.5451219999999992</v>
      </c>
      <c r="M276">
        <f t="shared" si="30"/>
        <v>4.7723250000000021</v>
      </c>
      <c r="N276">
        <f t="shared" si="31"/>
        <v>5.0633340000000011</v>
      </c>
    </row>
    <row r="277" spans="1:14" x14ac:dyDescent="0.2">
      <c r="A277" s="1">
        <v>276</v>
      </c>
      <c r="B277" s="6" t="s">
        <v>292</v>
      </c>
      <c r="C277" s="5">
        <v>3</v>
      </c>
      <c r="D277" s="8">
        <v>5.1860350000000004</v>
      </c>
      <c r="E277" s="1">
        <v>-18.198582999999999</v>
      </c>
      <c r="F277" s="1">
        <v>-15.463825</v>
      </c>
      <c r="G277" s="1">
        <v>-10.003501</v>
      </c>
      <c r="H277" s="1">
        <v>-10.413414</v>
      </c>
      <c r="I277">
        <v>-10.364459</v>
      </c>
      <c r="J277">
        <f t="shared" si="27"/>
        <v>10.139486999999999</v>
      </c>
      <c r="K277">
        <f t="shared" si="28"/>
        <v>9.408456000000001</v>
      </c>
      <c r="L277">
        <f t="shared" si="29"/>
        <v>11.093812</v>
      </c>
      <c r="M277">
        <f t="shared" si="30"/>
        <v>12.250088000000002</v>
      </c>
      <c r="N277">
        <f t="shared" si="31"/>
        <v>12.392795</v>
      </c>
    </row>
    <row r="278" spans="1:14" x14ac:dyDescent="0.2">
      <c r="A278" s="1">
        <v>277</v>
      </c>
      <c r="B278" s="6" t="s">
        <v>293</v>
      </c>
      <c r="C278" s="5">
        <v>3</v>
      </c>
      <c r="D278" s="8">
        <v>3.6948599999999998</v>
      </c>
      <c r="E278" s="1">
        <v>-22.083839999999999</v>
      </c>
      <c r="F278" s="1">
        <v>-19.016202</v>
      </c>
      <c r="G278" s="1">
        <v>-14.571183</v>
      </c>
      <c r="H278" s="1">
        <v>-15.614838000000001</v>
      </c>
      <c r="I278">
        <v>-15.515216000000001</v>
      </c>
      <c r="J278">
        <f t="shared" si="27"/>
        <v>6.2542299999999997</v>
      </c>
      <c r="K278">
        <f t="shared" si="28"/>
        <v>5.8560790000000011</v>
      </c>
      <c r="L278">
        <f t="shared" si="29"/>
        <v>6.5261300000000002</v>
      </c>
      <c r="M278">
        <f t="shared" si="30"/>
        <v>7.0486640000000005</v>
      </c>
      <c r="N278">
        <f t="shared" si="31"/>
        <v>7.2420379999999991</v>
      </c>
    </row>
    <row r="279" spans="1:14" x14ac:dyDescent="0.2">
      <c r="A279" s="1">
        <v>278</v>
      </c>
      <c r="B279" s="6" t="s">
        <v>294</v>
      </c>
      <c r="C279" s="5">
        <v>3</v>
      </c>
      <c r="D279" s="8">
        <v>5.3449619999999998</v>
      </c>
      <c r="E279" s="1">
        <v>-19.952328000000001</v>
      </c>
      <c r="F279" s="1">
        <v>-19.402792000000002</v>
      </c>
      <c r="G279" s="1">
        <v>-17.256944000000001</v>
      </c>
      <c r="H279" s="1">
        <v>-18.772518999999999</v>
      </c>
      <c r="I279">
        <v>-18.831128</v>
      </c>
      <c r="J279">
        <f t="shared" si="27"/>
        <v>8.3857419999999969</v>
      </c>
      <c r="K279">
        <f t="shared" si="28"/>
        <v>5.4694889999999994</v>
      </c>
      <c r="L279">
        <f t="shared" si="29"/>
        <v>3.840368999999999</v>
      </c>
      <c r="M279">
        <f t="shared" si="30"/>
        <v>3.8909830000000021</v>
      </c>
      <c r="N279">
        <f t="shared" si="31"/>
        <v>3.926126</v>
      </c>
    </row>
    <row r="280" spans="1:14" x14ac:dyDescent="0.2">
      <c r="A280" s="1">
        <v>279</v>
      </c>
      <c r="B280" s="6" t="s">
        <v>295</v>
      </c>
      <c r="C280" s="5">
        <v>3</v>
      </c>
      <c r="D280" s="8">
        <v>3.8028930000000001</v>
      </c>
      <c r="E280" s="1">
        <v>-19.787230999999998</v>
      </c>
      <c r="F280" s="1">
        <v>-18.595423</v>
      </c>
      <c r="G280" s="1">
        <v>-15.679266</v>
      </c>
      <c r="H280" s="1">
        <v>-17.452451</v>
      </c>
      <c r="I280">
        <v>-17.392903</v>
      </c>
      <c r="J280">
        <f t="shared" si="27"/>
        <v>8.5508389999999999</v>
      </c>
      <c r="K280">
        <f t="shared" si="28"/>
        <v>6.2768580000000007</v>
      </c>
      <c r="L280">
        <f t="shared" si="29"/>
        <v>5.4180469999999996</v>
      </c>
      <c r="M280">
        <f t="shared" si="30"/>
        <v>5.2110510000000012</v>
      </c>
      <c r="N280">
        <f t="shared" si="31"/>
        <v>5.3643509999999992</v>
      </c>
    </row>
    <row r="281" spans="1:14" x14ac:dyDescent="0.2">
      <c r="A281" s="1">
        <v>280</v>
      </c>
      <c r="B281" s="6" t="s">
        <v>296</v>
      </c>
      <c r="C281" s="5">
        <v>3</v>
      </c>
      <c r="D281" s="8">
        <v>3.9391980000000002</v>
      </c>
      <c r="E281" s="1">
        <v>-20.844384000000002</v>
      </c>
      <c r="F281" s="1">
        <v>-18.846627000000002</v>
      </c>
      <c r="G281" s="1">
        <v>-15.206289</v>
      </c>
      <c r="H281" s="1">
        <v>-16.911180000000002</v>
      </c>
      <c r="I281">
        <v>-16.924226000000001</v>
      </c>
      <c r="J281">
        <f t="shared" si="27"/>
        <v>7.4936859999999967</v>
      </c>
      <c r="K281">
        <f t="shared" si="28"/>
        <v>6.0256539999999994</v>
      </c>
      <c r="L281">
        <f t="shared" si="29"/>
        <v>5.8910239999999998</v>
      </c>
      <c r="M281">
        <f t="shared" si="30"/>
        <v>5.7523219999999995</v>
      </c>
      <c r="N281">
        <f t="shared" si="31"/>
        <v>5.8330279999999988</v>
      </c>
    </row>
    <row r="282" spans="1:14" x14ac:dyDescent="0.2">
      <c r="A282" s="1">
        <v>281</v>
      </c>
      <c r="B282" s="6" t="s">
        <v>297</v>
      </c>
      <c r="C282" s="5">
        <v>3</v>
      </c>
      <c r="D282" s="8">
        <v>3.9496009999999999</v>
      </c>
      <c r="E282" s="1">
        <v>-21.562678999999999</v>
      </c>
      <c r="F282" s="1">
        <v>-19.505410000000001</v>
      </c>
      <c r="G282" s="1">
        <v>-16.093868000000001</v>
      </c>
      <c r="H282" s="1">
        <v>-17.588988000000001</v>
      </c>
      <c r="I282">
        <v>-17.477398000000001</v>
      </c>
      <c r="J282">
        <f t="shared" si="27"/>
        <v>6.7753909999999991</v>
      </c>
      <c r="K282">
        <f t="shared" si="28"/>
        <v>5.3668709999999997</v>
      </c>
      <c r="L282">
        <f t="shared" si="29"/>
        <v>5.0034449999999993</v>
      </c>
      <c r="M282">
        <f t="shared" si="30"/>
        <v>5.0745140000000006</v>
      </c>
      <c r="N282">
        <f t="shared" si="31"/>
        <v>5.2798559999999988</v>
      </c>
    </row>
    <row r="283" spans="1:14" x14ac:dyDescent="0.2">
      <c r="A283" s="1">
        <v>282</v>
      </c>
      <c r="B283" s="6" t="s">
        <v>298</v>
      </c>
      <c r="C283" s="5">
        <v>3</v>
      </c>
      <c r="D283" s="8">
        <v>4.1216169999999996</v>
      </c>
      <c r="E283" s="1">
        <v>-21.108163999999999</v>
      </c>
      <c r="F283" s="1">
        <v>-18.868389000000001</v>
      </c>
      <c r="G283" s="1">
        <v>-16.339086999999999</v>
      </c>
      <c r="H283" s="1">
        <v>-18.465985</v>
      </c>
      <c r="I283">
        <v>-18.512204000000001</v>
      </c>
      <c r="J283">
        <f t="shared" si="27"/>
        <v>7.2299059999999997</v>
      </c>
      <c r="K283">
        <f t="shared" si="28"/>
        <v>6.0038920000000005</v>
      </c>
      <c r="L283">
        <f t="shared" si="29"/>
        <v>4.7582260000000005</v>
      </c>
      <c r="M283">
        <f t="shared" si="30"/>
        <v>4.1975170000000013</v>
      </c>
      <c r="N283">
        <f t="shared" si="31"/>
        <v>4.2450499999999991</v>
      </c>
    </row>
    <row r="284" spans="1:14" x14ac:dyDescent="0.2">
      <c r="A284" s="1">
        <v>283</v>
      </c>
      <c r="B284" s="6" t="s">
        <v>299</v>
      </c>
      <c r="C284" s="5">
        <v>3</v>
      </c>
      <c r="D284" s="8">
        <v>4.1612169999999997</v>
      </c>
      <c r="E284" s="1">
        <v>-23.208508999999999</v>
      </c>
      <c r="F284" s="1">
        <v>-20.698644999999999</v>
      </c>
      <c r="G284" s="1">
        <v>-17.628578000000001</v>
      </c>
      <c r="H284" s="1">
        <v>-19.187002</v>
      </c>
      <c r="I284">
        <v>-19.402076999999998</v>
      </c>
      <c r="J284">
        <f t="shared" si="27"/>
        <v>5.1295609999999989</v>
      </c>
      <c r="K284">
        <f t="shared" si="28"/>
        <v>4.1736360000000019</v>
      </c>
      <c r="L284">
        <f t="shared" si="29"/>
        <v>3.4687349999999988</v>
      </c>
      <c r="M284">
        <f t="shared" si="30"/>
        <v>3.4765000000000015</v>
      </c>
      <c r="N284">
        <f t="shared" si="31"/>
        <v>3.3551770000000012</v>
      </c>
    </row>
    <row r="285" spans="1:14" x14ac:dyDescent="0.2">
      <c r="A285" s="1">
        <v>284</v>
      </c>
      <c r="B285" s="6" t="s">
        <v>300</v>
      </c>
      <c r="C285" s="5">
        <v>3</v>
      </c>
      <c r="D285" s="8">
        <v>3.836522</v>
      </c>
      <c r="E285" s="1">
        <v>-21.990997</v>
      </c>
      <c r="F285" s="1">
        <v>-19.806905</v>
      </c>
      <c r="G285" s="1">
        <v>-15.581614</v>
      </c>
      <c r="H285" s="1">
        <v>-16.900393999999999</v>
      </c>
      <c r="I285">
        <v>-16.763078</v>
      </c>
      <c r="J285">
        <f t="shared" si="27"/>
        <v>6.3470729999999982</v>
      </c>
      <c r="K285">
        <f t="shared" si="28"/>
        <v>5.0653760000000005</v>
      </c>
      <c r="L285">
        <f t="shared" si="29"/>
        <v>5.5156989999999997</v>
      </c>
      <c r="M285">
        <f t="shared" si="30"/>
        <v>5.7631080000000026</v>
      </c>
      <c r="N285">
        <f t="shared" si="31"/>
        <v>5.9941759999999995</v>
      </c>
    </row>
    <row r="286" spans="1:14" x14ac:dyDescent="0.2">
      <c r="A286" s="1">
        <v>285</v>
      </c>
      <c r="B286" s="6" t="s">
        <v>301</v>
      </c>
      <c r="C286" s="5">
        <v>3</v>
      </c>
      <c r="D286" s="8">
        <v>4.7208730000000001</v>
      </c>
      <c r="E286" s="1">
        <v>-19.044312999999999</v>
      </c>
      <c r="F286" s="1">
        <v>-17.591297000000001</v>
      </c>
      <c r="G286" s="1">
        <v>-14.181882999999999</v>
      </c>
      <c r="H286" s="1">
        <v>-15.745755000000001</v>
      </c>
      <c r="I286">
        <v>-15.716226000000001</v>
      </c>
      <c r="J286">
        <f t="shared" si="27"/>
        <v>9.2937569999999994</v>
      </c>
      <c r="K286">
        <f t="shared" si="28"/>
        <v>7.2809840000000001</v>
      </c>
      <c r="L286">
        <f t="shared" si="29"/>
        <v>6.9154300000000006</v>
      </c>
      <c r="M286">
        <f t="shared" si="30"/>
        <v>6.9177470000000003</v>
      </c>
      <c r="N286">
        <f t="shared" si="31"/>
        <v>7.041027999999999</v>
      </c>
    </row>
    <row r="287" spans="1:14" x14ac:dyDescent="0.2">
      <c r="A287" s="1">
        <v>286</v>
      </c>
      <c r="B287" s="6" t="s">
        <v>302</v>
      </c>
      <c r="C287" s="5">
        <v>3</v>
      </c>
      <c r="D287" s="8">
        <v>4.5063440000000003</v>
      </c>
      <c r="E287" s="1">
        <v>-18.753623999999999</v>
      </c>
      <c r="F287" s="1">
        <v>-17.541353000000001</v>
      </c>
      <c r="G287" s="1">
        <v>-14.747083</v>
      </c>
      <c r="H287" s="1">
        <v>-15.967471</v>
      </c>
      <c r="I287">
        <v>-16.059746000000001</v>
      </c>
      <c r="J287">
        <f t="shared" si="27"/>
        <v>9.5844459999999998</v>
      </c>
      <c r="K287">
        <f t="shared" si="28"/>
        <v>7.3309280000000001</v>
      </c>
      <c r="L287">
        <f t="shared" si="29"/>
        <v>6.3502299999999998</v>
      </c>
      <c r="M287">
        <f t="shared" si="30"/>
        <v>6.6960310000000014</v>
      </c>
      <c r="N287">
        <f t="shared" si="31"/>
        <v>6.6975079999999991</v>
      </c>
    </row>
    <row r="288" spans="1:14" x14ac:dyDescent="0.2">
      <c r="A288" s="1">
        <v>287</v>
      </c>
      <c r="B288" s="6" t="s">
        <v>303</v>
      </c>
      <c r="C288" s="5">
        <v>3</v>
      </c>
      <c r="D288" s="8">
        <v>3.2087089999999998</v>
      </c>
      <c r="E288" s="1">
        <v>-23.423798000000001</v>
      </c>
      <c r="F288" s="1">
        <v>-20.498842</v>
      </c>
      <c r="G288" s="1">
        <v>-16.109750999999999</v>
      </c>
      <c r="H288" s="1">
        <v>-17.535226000000002</v>
      </c>
      <c r="I288">
        <v>-17.519531000000001</v>
      </c>
      <c r="J288">
        <f t="shared" si="27"/>
        <v>4.9142719999999969</v>
      </c>
      <c r="K288">
        <f t="shared" si="28"/>
        <v>4.3734390000000012</v>
      </c>
      <c r="L288">
        <f t="shared" si="29"/>
        <v>4.9875620000000005</v>
      </c>
      <c r="M288">
        <f t="shared" si="30"/>
        <v>5.1282759999999996</v>
      </c>
      <c r="N288">
        <f t="shared" si="31"/>
        <v>5.237722999999999</v>
      </c>
    </row>
    <row r="289" spans="1:14" x14ac:dyDescent="0.2">
      <c r="A289" s="1">
        <v>288</v>
      </c>
      <c r="B289" s="6" t="s">
        <v>304</v>
      </c>
      <c r="C289" s="5">
        <v>3</v>
      </c>
      <c r="D289" s="8">
        <v>3.2639740000000002</v>
      </c>
      <c r="E289" s="1">
        <v>-22.576716999999999</v>
      </c>
      <c r="F289" s="1">
        <v>-20.189558999999999</v>
      </c>
      <c r="G289" s="1">
        <v>-15.772157</v>
      </c>
      <c r="H289" s="1">
        <v>-17.184479</v>
      </c>
      <c r="I289">
        <v>-17.119638999999999</v>
      </c>
      <c r="J289">
        <f t="shared" si="27"/>
        <v>5.7613529999999997</v>
      </c>
      <c r="K289">
        <f t="shared" si="28"/>
        <v>4.6827220000000018</v>
      </c>
      <c r="L289">
        <f t="shared" si="29"/>
        <v>5.3251559999999998</v>
      </c>
      <c r="M289">
        <f t="shared" si="30"/>
        <v>5.4790230000000015</v>
      </c>
      <c r="N289">
        <f t="shared" si="31"/>
        <v>5.6376150000000003</v>
      </c>
    </row>
    <row r="290" spans="1:14" x14ac:dyDescent="0.2">
      <c r="A290" s="1">
        <v>289</v>
      </c>
      <c r="B290" s="6" t="s">
        <v>305</v>
      </c>
      <c r="C290" s="5">
        <v>3</v>
      </c>
      <c r="D290" s="8">
        <v>3.8410989999999998</v>
      </c>
      <c r="E290" s="1">
        <v>-22.60427</v>
      </c>
      <c r="F290" s="1">
        <v>-19.599449</v>
      </c>
      <c r="G290" s="1">
        <v>-15.180749</v>
      </c>
      <c r="H290" s="1">
        <v>-16.458407999999999</v>
      </c>
      <c r="I290">
        <v>-16.381889999999999</v>
      </c>
      <c r="J290">
        <f t="shared" si="27"/>
        <v>5.7337999999999987</v>
      </c>
      <c r="K290">
        <f t="shared" si="28"/>
        <v>5.2728320000000011</v>
      </c>
      <c r="L290">
        <f t="shared" si="29"/>
        <v>5.9165639999999993</v>
      </c>
      <c r="M290">
        <f t="shared" si="30"/>
        <v>6.2050940000000026</v>
      </c>
      <c r="N290">
        <f t="shared" si="31"/>
        <v>6.3753640000000011</v>
      </c>
    </row>
    <row r="291" spans="1:14" x14ac:dyDescent="0.2">
      <c r="A291" s="1">
        <v>290</v>
      </c>
      <c r="B291" s="6" t="s">
        <v>306</v>
      </c>
      <c r="C291" s="5">
        <v>3</v>
      </c>
      <c r="D291" s="8">
        <v>4.2741559999999996</v>
      </c>
      <c r="E291" s="1">
        <v>-20.167615999999999</v>
      </c>
      <c r="F291" s="1">
        <v>-19.202988999999999</v>
      </c>
      <c r="G291" s="1">
        <v>-15.738117000000001</v>
      </c>
      <c r="H291" s="1">
        <v>-17.120743000000001</v>
      </c>
      <c r="I291">
        <v>-16.948581999999998</v>
      </c>
      <c r="J291">
        <f t="shared" si="27"/>
        <v>8.1704539999999994</v>
      </c>
      <c r="K291">
        <f t="shared" si="28"/>
        <v>5.6692920000000022</v>
      </c>
      <c r="L291">
        <f t="shared" si="29"/>
        <v>5.359195999999999</v>
      </c>
      <c r="M291">
        <f t="shared" si="30"/>
        <v>5.5427590000000002</v>
      </c>
      <c r="N291">
        <f t="shared" si="31"/>
        <v>5.8086720000000014</v>
      </c>
    </row>
    <row r="292" spans="1:14" x14ac:dyDescent="0.2">
      <c r="A292" s="1">
        <v>291</v>
      </c>
      <c r="B292" s="6" t="s">
        <v>307</v>
      </c>
      <c r="C292" s="5">
        <v>3</v>
      </c>
      <c r="D292" s="8">
        <v>2.805539</v>
      </c>
      <c r="E292" s="1">
        <v>-22.056287000000001</v>
      </c>
      <c r="F292" s="1">
        <v>-19.606311000000002</v>
      </c>
      <c r="G292" s="1">
        <v>-15.162592</v>
      </c>
      <c r="H292" s="1">
        <v>-16.340909</v>
      </c>
      <c r="I292">
        <v>-16.252966000000001</v>
      </c>
      <c r="J292">
        <f t="shared" si="27"/>
        <v>6.2817829999999972</v>
      </c>
      <c r="K292">
        <f t="shared" si="28"/>
        <v>5.2659699999999994</v>
      </c>
      <c r="L292">
        <f t="shared" si="29"/>
        <v>5.9347209999999997</v>
      </c>
      <c r="M292">
        <f t="shared" si="30"/>
        <v>6.3225930000000012</v>
      </c>
      <c r="N292">
        <f t="shared" si="31"/>
        <v>6.504287999999999</v>
      </c>
    </row>
    <row r="293" spans="1:14" x14ac:dyDescent="0.2">
      <c r="A293" s="1">
        <v>292</v>
      </c>
      <c r="B293" s="6" t="s">
        <v>308</v>
      </c>
      <c r="C293" s="5">
        <v>3</v>
      </c>
      <c r="D293" s="8">
        <v>3.2834249999999998</v>
      </c>
      <c r="E293" s="1">
        <v>-21.154741000000001</v>
      </c>
      <c r="F293" s="1">
        <v>-19.487953999999998</v>
      </c>
      <c r="G293" s="1">
        <v>-16.626425999999999</v>
      </c>
      <c r="H293" s="1">
        <v>-18.646768000000002</v>
      </c>
      <c r="I293">
        <v>-18.659469000000001</v>
      </c>
      <c r="J293">
        <f t="shared" si="27"/>
        <v>7.183328999999997</v>
      </c>
      <c r="K293">
        <f t="shared" si="28"/>
        <v>5.3843270000000025</v>
      </c>
      <c r="L293">
        <f t="shared" si="29"/>
        <v>4.4708870000000012</v>
      </c>
      <c r="M293">
        <f t="shared" si="30"/>
        <v>4.0167339999999996</v>
      </c>
      <c r="N293">
        <f t="shared" si="31"/>
        <v>4.0977849999999982</v>
      </c>
    </row>
    <row r="294" spans="1:14" x14ac:dyDescent="0.2">
      <c r="A294" s="1">
        <v>293</v>
      </c>
      <c r="B294" s="6" t="s">
        <v>309</v>
      </c>
      <c r="C294" s="5">
        <v>3</v>
      </c>
      <c r="D294" s="8">
        <v>3.3722159999999999</v>
      </c>
      <c r="E294" s="1">
        <v>-22.576716999999999</v>
      </c>
      <c r="F294" s="1">
        <v>-20.189558999999999</v>
      </c>
      <c r="G294" s="1">
        <v>-15.772157</v>
      </c>
      <c r="H294" s="1">
        <v>-17.184479</v>
      </c>
      <c r="I294">
        <v>-17.119638999999999</v>
      </c>
      <c r="J294">
        <f t="shared" si="27"/>
        <v>5.7613529999999997</v>
      </c>
      <c r="K294">
        <f t="shared" si="28"/>
        <v>4.6827220000000018</v>
      </c>
      <c r="L294">
        <f t="shared" si="29"/>
        <v>5.3251559999999998</v>
      </c>
      <c r="M294">
        <f t="shared" si="30"/>
        <v>5.4790230000000015</v>
      </c>
      <c r="N294">
        <f t="shared" si="31"/>
        <v>5.6376150000000003</v>
      </c>
    </row>
    <row r="295" spans="1:14" x14ac:dyDescent="0.2">
      <c r="A295" s="1">
        <v>294</v>
      </c>
      <c r="B295" s="6" t="s">
        <v>310</v>
      </c>
      <c r="C295" s="5">
        <v>3</v>
      </c>
      <c r="D295" s="8">
        <v>3.4262269999999999</v>
      </c>
      <c r="E295" s="1">
        <v>-22.821926000000001</v>
      </c>
      <c r="F295" s="1">
        <v>-21.029567</v>
      </c>
      <c r="G295" s="1">
        <v>-17.143598999999998</v>
      </c>
      <c r="H295" s="1">
        <v>-18.617248</v>
      </c>
      <c r="I295">
        <v>-18.431668999999999</v>
      </c>
      <c r="J295">
        <f t="shared" si="27"/>
        <v>5.516143999999997</v>
      </c>
      <c r="K295">
        <f t="shared" si="28"/>
        <v>3.8427140000000009</v>
      </c>
      <c r="L295">
        <f t="shared" si="29"/>
        <v>3.9537140000000015</v>
      </c>
      <c r="M295">
        <f t="shared" si="30"/>
        <v>4.0462540000000011</v>
      </c>
      <c r="N295">
        <f t="shared" si="31"/>
        <v>4.3255850000000002</v>
      </c>
    </row>
    <row r="296" spans="1:14" x14ac:dyDescent="0.2">
      <c r="A296" s="1">
        <v>295</v>
      </c>
      <c r="B296" s="6" t="s">
        <v>311</v>
      </c>
      <c r="C296" s="5">
        <v>3</v>
      </c>
      <c r="D296" s="8">
        <v>4.5711639999999996</v>
      </c>
      <c r="E296" s="1">
        <v>-22.606638</v>
      </c>
      <c r="F296" s="1">
        <v>-21.229371</v>
      </c>
      <c r="G296" s="1">
        <v>-18.662426</v>
      </c>
      <c r="H296" s="1">
        <v>-20.269024000000002</v>
      </c>
      <c r="I296">
        <v>-20.314215000000001</v>
      </c>
      <c r="J296">
        <f t="shared" si="27"/>
        <v>5.7314319999999981</v>
      </c>
      <c r="K296">
        <f t="shared" si="28"/>
        <v>3.6429100000000005</v>
      </c>
      <c r="L296">
        <f t="shared" si="29"/>
        <v>2.4348869999999998</v>
      </c>
      <c r="M296">
        <f t="shared" si="30"/>
        <v>2.3944779999999994</v>
      </c>
      <c r="N296">
        <f t="shared" si="31"/>
        <v>2.4430389999999989</v>
      </c>
    </row>
    <row r="297" spans="1:14" x14ac:dyDescent="0.2">
      <c r="A297" s="1">
        <v>296</v>
      </c>
      <c r="B297" s="6" t="s">
        <v>312</v>
      </c>
      <c r="C297" s="5">
        <v>3</v>
      </c>
      <c r="D297" s="8">
        <v>4.1861889999999997</v>
      </c>
      <c r="E297" s="1">
        <v>-21.209206999999999</v>
      </c>
      <c r="F297" s="1">
        <v>-19.297028000000001</v>
      </c>
      <c r="G297" s="1">
        <v>-14.824998000000001</v>
      </c>
      <c r="H297" s="1">
        <v>-15.990162</v>
      </c>
      <c r="I297">
        <v>-15.853073999999999</v>
      </c>
      <c r="J297">
        <f t="shared" si="27"/>
        <v>7.1288629999999991</v>
      </c>
      <c r="K297">
        <f t="shared" si="28"/>
        <v>5.575253</v>
      </c>
      <c r="L297">
        <f t="shared" si="29"/>
        <v>6.272314999999999</v>
      </c>
      <c r="M297">
        <f t="shared" si="30"/>
        <v>6.6733400000000014</v>
      </c>
      <c r="N297">
        <f t="shared" si="31"/>
        <v>6.9041800000000002</v>
      </c>
    </row>
    <row r="298" spans="1:14" x14ac:dyDescent="0.2">
      <c r="A298" s="1">
        <v>297</v>
      </c>
      <c r="B298" s="6" t="s">
        <v>313</v>
      </c>
      <c r="C298" s="5">
        <v>3</v>
      </c>
      <c r="D298" s="8">
        <v>5.0901379999999996</v>
      </c>
      <c r="E298" s="1">
        <v>-19.567371999999999</v>
      </c>
      <c r="F298" s="1">
        <v>-19.090869000000001</v>
      </c>
      <c r="G298" s="1">
        <v>-18.467772</v>
      </c>
      <c r="H298" s="1">
        <v>-20.591867000000001</v>
      </c>
      <c r="I298">
        <v>-20.58615</v>
      </c>
      <c r="J298">
        <f t="shared" si="27"/>
        <v>8.7706979999999994</v>
      </c>
      <c r="K298">
        <f t="shared" si="28"/>
        <v>5.7814119999999996</v>
      </c>
      <c r="L298">
        <f t="shared" si="29"/>
        <v>2.6295409999999997</v>
      </c>
      <c r="M298">
        <f t="shared" si="30"/>
        <v>2.0716350000000006</v>
      </c>
      <c r="N298">
        <f t="shared" si="31"/>
        <v>2.1711039999999997</v>
      </c>
    </row>
    <row r="299" spans="1:14" x14ac:dyDescent="0.2">
      <c r="A299" s="1">
        <v>298</v>
      </c>
      <c r="B299" s="6" t="s">
        <v>314</v>
      </c>
      <c r="C299" s="5">
        <v>3</v>
      </c>
      <c r="D299" s="8">
        <v>3.524896</v>
      </c>
      <c r="E299" s="1">
        <v>-22.018549</v>
      </c>
      <c r="F299" s="1">
        <v>-19.216795999999999</v>
      </c>
      <c r="G299" s="1">
        <v>-14.990205</v>
      </c>
      <c r="H299" s="1">
        <v>-16.174323000000001</v>
      </c>
      <c r="I299">
        <v>-16.025327999999998</v>
      </c>
      <c r="J299">
        <f t="shared" si="27"/>
        <v>6.3195209999999982</v>
      </c>
      <c r="K299">
        <f t="shared" si="28"/>
        <v>5.6554850000000023</v>
      </c>
      <c r="L299">
        <f t="shared" si="29"/>
        <v>6.1071080000000002</v>
      </c>
      <c r="M299">
        <f t="shared" si="30"/>
        <v>6.489179</v>
      </c>
      <c r="N299">
        <f t="shared" si="31"/>
        <v>6.7319260000000014</v>
      </c>
    </row>
    <row r="300" spans="1:14" x14ac:dyDescent="0.2">
      <c r="A300" s="1">
        <v>299</v>
      </c>
      <c r="B300" s="6" t="s">
        <v>315</v>
      </c>
      <c r="C300" s="5">
        <v>3</v>
      </c>
      <c r="D300" s="8">
        <v>3.8228629999999999</v>
      </c>
      <c r="E300" s="1">
        <v>-23.484732000000001</v>
      </c>
      <c r="F300" s="1">
        <v>-22.001054</v>
      </c>
      <c r="G300" s="1">
        <v>-18.847218000000002</v>
      </c>
      <c r="H300" s="1">
        <v>-20.211243</v>
      </c>
      <c r="I300">
        <v>-20.234541</v>
      </c>
      <c r="J300">
        <f t="shared" si="27"/>
        <v>4.8533379999999973</v>
      </c>
      <c r="K300">
        <f t="shared" si="28"/>
        <v>2.8712270000000011</v>
      </c>
      <c r="L300">
        <f t="shared" si="29"/>
        <v>2.2500949999999982</v>
      </c>
      <c r="M300">
        <f t="shared" si="30"/>
        <v>2.4522590000000015</v>
      </c>
      <c r="N300">
        <f t="shared" si="31"/>
        <v>2.5227129999999995</v>
      </c>
    </row>
    <row r="301" spans="1:14" x14ac:dyDescent="0.2">
      <c r="A301" s="1">
        <v>300</v>
      </c>
      <c r="B301" s="6" t="s">
        <v>316</v>
      </c>
      <c r="C301" s="5">
        <v>3</v>
      </c>
      <c r="D301" s="8">
        <v>4.5026619999999999</v>
      </c>
      <c r="E301" s="1">
        <v>-21.252321999999999</v>
      </c>
      <c r="F301" s="1">
        <v>-18.864083000000001</v>
      </c>
      <c r="G301" s="1">
        <v>-14.673731</v>
      </c>
      <c r="H301" s="1">
        <v>-15.853401</v>
      </c>
      <c r="I301">
        <v>-15.742156</v>
      </c>
      <c r="J301">
        <f t="shared" si="27"/>
        <v>7.0857479999999988</v>
      </c>
      <c r="K301">
        <f t="shared" si="28"/>
        <v>6.0081980000000001</v>
      </c>
      <c r="L301">
        <f t="shared" si="29"/>
        <v>6.4235819999999997</v>
      </c>
      <c r="M301">
        <f t="shared" si="30"/>
        <v>6.8101010000000013</v>
      </c>
      <c r="N301">
        <f t="shared" si="31"/>
        <v>7.0150980000000001</v>
      </c>
    </row>
    <row r="302" spans="1:14" x14ac:dyDescent="0.2">
      <c r="A302" s="1">
        <v>301</v>
      </c>
      <c r="B302" s="6" t="s">
        <v>317</v>
      </c>
      <c r="C302" s="5">
        <v>3</v>
      </c>
      <c r="D302" s="8">
        <v>4.5092410000000003</v>
      </c>
      <c r="E302" s="1">
        <v>-17.904924999999999</v>
      </c>
      <c r="F302" s="1">
        <v>-17.716087999999999</v>
      </c>
      <c r="G302" s="1">
        <v>-17.008333</v>
      </c>
      <c r="H302" s="1">
        <v>-19.113575999999998</v>
      </c>
      <c r="I302">
        <v>-19.144497999999999</v>
      </c>
      <c r="J302">
        <f t="shared" si="27"/>
        <v>10.433145</v>
      </c>
      <c r="K302">
        <f t="shared" si="28"/>
        <v>7.1561930000000018</v>
      </c>
      <c r="L302">
        <f t="shared" si="29"/>
        <v>4.0889799999999994</v>
      </c>
      <c r="M302">
        <f t="shared" si="30"/>
        <v>3.5499260000000028</v>
      </c>
      <c r="N302">
        <f t="shared" si="31"/>
        <v>3.612756000000001</v>
      </c>
    </row>
    <row r="303" spans="1:14" x14ac:dyDescent="0.2">
      <c r="A303" s="1">
        <v>302</v>
      </c>
      <c r="B303" s="6" t="s">
        <v>318</v>
      </c>
      <c r="C303" s="5">
        <v>3</v>
      </c>
      <c r="D303" s="8">
        <v>4.0455220000000001</v>
      </c>
      <c r="E303" s="1">
        <v>-21.535126999999999</v>
      </c>
      <c r="F303" s="1">
        <v>-20.095518999999999</v>
      </c>
      <c r="G303" s="1">
        <v>-16.685276000000002</v>
      </c>
      <c r="H303" s="1">
        <v>-18.315059999999999</v>
      </c>
      <c r="I303">
        <v>-18.215147999999999</v>
      </c>
      <c r="J303">
        <f t="shared" si="27"/>
        <v>6.8029429999999991</v>
      </c>
      <c r="K303">
        <f t="shared" si="28"/>
        <v>4.7767620000000015</v>
      </c>
      <c r="L303">
        <f t="shared" si="29"/>
        <v>4.412036999999998</v>
      </c>
      <c r="M303">
        <f t="shared" si="30"/>
        <v>4.3484420000000021</v>
      </c>
      <c r="N303">
        <f t="shared" si="31"/>
        <v>4.5421060000000004</v>
      </c>
    </row>
    <row r="304" spans="1:14" x14ac:dyDescent="0.2">
      <c r="A304" s="1">
        <v>303</v>
      </c>
      <c r="B304" s="6" t="s">
        <v>319</v>
      </c>
      <c r="C304" s="5">
        <v>3</v>
      </c>
      <c r="D304" s="8">
        <v>4.6573760000000002</v>
      </c>
      <c r="E304" s="1">
        <v>-21.456043000000001</v>
      </c>
      <c r="F304" s="1">
        <v>-19.494191000000001</v>
      </c>
      <c r="G304" s="1">
        <v>-17.892247000000001</v>
      </c>
      <c r="H304" s="1">
        <v>-19.812033</v>
      </c>
      <c r="I304">
        <v>-19.890533999999999</v>
      </c>
      <c r="J304">
        <f t="shared" si="27"/>
        <v>6.8820269999999972</v>
      </c>
      <c r="K304">
        <f t="shared" si="28"/>
        <v>5.3780900000000003</v>
      </c>
      <c r="L304">
        <f t="shared" si="29"/>
        <v>3.2050659999999986</v>
      </c>
      <c r="M304">
        <f t="shared" si="30"/>
        <v>2.8514690000000016</v>
      </c>
      <c r="N304">
        <f t="shared" si="31"/>
        <v>2.8667200000000008</v>
      </c>
    </row>
    <row r="305" spans="1:14" x14ac:dyDescent="0.2">
      <c r="A305" s="1">
        <v>304</v>
      </c>
      <c r="B305" s="6" t="s">
        <v>320</v>
      </c>
      <c r="C305" s="5">
        <v>3</v>
      </c>
      <c r="D305" s="8">
        <v>3.3497880000000002</v>
      </c>
      <c r="E305" s="1">
        <v>-21.154741000000001</v>
      </c>
      <c r="F305" s="1">
        <v>-19.487953999999998</v>
      </c>
      <c r="G305" s="1">
        <v>-16.626425999999999</v>
      </c>
      <c r="H305" s="1">
        <v>-18.646768000000002</v>
      </c>
      <c r="I305">
        <v>-18.659469000000001</v>
      </c>
      <c r="J305">
        <f t="shared" si="27"/>
        <v>7.183328999999997</v>
      </c>
      <c r="K305">
        <f t="shared" si="28"/>
        <v>5.3843270000000025</v>
      </c>
      <c r="L305">
        <f t="shared" si="29"/>
        <v>4.4708870000000012</v>
      </c>
      <c r="M305">
        <f t="shared" si="30"/>
        <v>4.0167339999999996</v>
      </c>
      <c r="N305">
        <f t="shared" si="31"/>
        <v>4.0977849999999982</v>
      </c>
    </row>
    <row r="306" spans="1:14" x14ac:dyDescent="0.2">
      <c r="A306" s="1">
        <v>305</v>
      </c>
      <c r="B306" s="6" t="s">
        <v>321</v>
      </c>
      <c r="C306" s="5">
        <v>3</v>
      </c>
      <c r="D306" s="8">
        <v>3.7887200000000001</v>
      </c>
      <c r="E306" s="1">
        <v>-23.484732000000001</v>
      </c>
      <c r="F306" s="1">
        <v>-22.001054</v>
      </c>
      <c r="G306" s="1">
        <v>-18.847218000000002</v>
      </c>
      <c r="H306" s="1">
        <v>-20.211243</v>
      </c>
      <c r="I306">
        <v>-20.234541</v>
      </c>
      <c r="J306">
        <f t="shared" si="27"/>
        <v>4.8533379999999973</v>
      </c>
      <c r="K306">
        <f t="shared" si="28"/>
        <v>2.8712270000000011</v>
      </c>
      <c r="L306">
        <f t="shared" si="29"/>
        <v>2.2500949999999982</v>
      </c>
      <c r="M306">
        <f t="shared" si="30"/>
        <v>2.4522590000000015</v>
      </c>
      <c r="N306">
        <f t="shared" si="31"/>
        <v>2.5227129999999995</v>
      </c>
    </row>
    <row r="307" spans="1:14" x14ac:dyDescent="0.2">
      <c r="A307" s="1">
        <v>306</v>
      </c>
      <c r="B307" s="6" t="s">
        <v>322</v>
      </c>
      <c r="C307" s="5">
        <v>3</v>
      </c>
      <c r="D307" s="8">
        <v>4.1212629999999999</v>
      </c>
      <c r="E307" s="1">
        <v>-17.405446999999999</v>
      </c>
      <c r="F307" s="1">
        <v>-15.082931</v>
      </c>
      <c r="G307" s="1">
        <v>-11.385025000000001</v>
      </c>
      <c r="H307" s="1">
        <v>-11.869013000000001</v>
      </c>
      <c r="I307">
        <v>-12.012784</v>
      </c>
      <c r="J307">
        <f t="shared" si="27"/>
        <v>10.932623</v>
      </c>
      <c r="K307">
        <f t="shared" si="28"/>
        <v>9.7893500000000007</v>
      </c>
      <c r="L307">
        <f t="shared" si="29"/>
        <v>9.7122879999999991</v>
      </c>
      <c r="M307">
        <f t="shared" si="30"/>
        <v>10.794489</v>
      </c>
      <c r="N307">
        <f t="shared" si="31"/>
        <v>10.74447</v>
      </c>
    </row>
    <row r="308" spans="1:14" x14ac:dyDescent="0.2">
      <c r="A308" s="1">
        <v>307</v>
      </c>
      <c r="B308" s="6" t="s">
        <v>323</v>
      </c>
      <c r="C308" s="5">
        <v>3</v>
      </c>
      <c r="D308" s="8">
        <v>4.5620859999999999</v>
      </c>
      <c r="E308" s="1">
        <v>-20.530315999999999</v>
      </c>
      <c r="F308" s="1">
        <v>-18.287692</v>
      </c>
      <c r="G308" s="1">
        <v>-16.201782999999999</v>
      </c>
      <c r="H308" s="1">
        <v>-18.269808000000001</v>
      </c>
      <c r="I308">
        <v>-18.277982999999999</v>
      </c>
      <c r="J308">
        <f t="shared" si="27"/>
        <v>7.8077539999999992</v>
      </c>
      <c r="K308">
        <f t="shared" si="28"/>
        <v>6.5845890000000011</v>
      </c>
      <c r="L308">
        <f t="shared" si="29"/>
        <v>4.8955300000000008</v>
      </c>
      <c r="M308">
        <f t="shared" si="30"/>
        <v>4.393694</v>
      </c>
      <c r="N308">
        <f t="shared" si="31"/>
        <v>4.4792710000000007</v>
      </c>
    </row>
    <row r="309" spans="1:14" x14ac:dyDescent="0.2">
      <c r="A309" s="1">
        <v>308</v>
      </c>
      <c r="B309" s="6" t="s">
        <v>324</v>
      </c>
      <c r="C309" s="5">
        <v>3</v>
      </c>
      <c r="D309" s="8">
        <v>4.6044660000000004</v>
      </c>
      <c r="E309" s="1">
        <v>-18.078206999999999</v>
      </c>
      <c r="F309" s="1">
        <v>-16.601078000000001</v>
      </c>
      <c r="G309" s="1">
        <v>-13.932489</v>
      </c>
      <c r="H309" s="1">
        <v>-15.793378000000001</v>
      </c>
      <c r="I309">
        <v>-15.803986</v>
      </c>
      <c r="J309">
        <f t="shared" si="27"/>
        <v>10.259862999999999</v>
      </c>
      <c r="K309">
        <f t="shared" si="28"/>
        <v>8.2712029999999999</v>
      </c>
      <c r="L309">
        <f t="shared" si="29"/>
        <v>7.1648239999999994</v>
      </c>
      <c r="M309">
        <f t="shared" si="30"/>
        <v>6.8701240000000006</v>
      </c>
      <c r="N309">
        <f t="shared" si="31"/>
        <v>6.9532679999999996</v>
      </c>
    </row>
    <row r="310" spans="1:14" x14ac:dyDescent="0.2">
      <c r="A310" s="1">
        <v>309</v>
      </c>
      <c r="B310" s="6" t="s">
        <v>325</v>
      </c>
      <c r="C310" s="5">
        <v>3</v>
      </c>
      <c r="D310" s="8">
        <v>6.2590199999999996</v>
      </c>
      <c r="E310" s="1">
        <v>-18.221768999999998</v>
      </c>
      <c r="F310" s="1">
        <v>-18.384771000000001</v>
      </c>
      <c r="G310" s="1">
        <v>-16.314343000000001</v>
      </c>
      <c r="H310" s="1">
        <v>-17.380438000000002</v>
      </c>
      <c r="I310">
        <v>-17.480111999999998</v>
      </c>
      <c r="J310">
        <f t="shared" si="27"/>
        <v>10.116301</v>
      </c>
      <c r="K310">
        <f t="shared" si="28"/>
        <v>6.4875100000000003</v>
      </c>
      <c r="L310">
        <f t="shared" si="29"/>
        <v>4.7829699999999988</v>
      </c>
      <c r="M310">
        <f t="shared" si="30"/>
        <v>5.2830639999999995</v>
      </c>
      <c r="N310">
        <f t="shared" si="31"/>
        <v>5.2771420000000013</v>
      </c>
    </row>
    <row r="311" spans="1:14" x14ac:dyDescent="0.2">
      <c r="A311" s="1">
        <v>310</v>
      </c>
      <c r="B311" s="6" t="s">
        <v>326</v>
      </c>
      <c r="C311" s="5">
        <v>3</v>
      </c>
      <c r="D311" s="8">
        <v>3.4904809999999999</v>
      </c>
      <c r="E311" s="1">
        <v>-22.196332000000002</v>
      </c>
      <c r="F311" s="1">
        <v>-19.581993000000001</v>
      </c>
      <c r="G311" s="1">
        <v>-15.713307</v>
      </c>
      <c r="H311" s="1">
        <v>-17.516186999999999</v>
      </c>
      <c r="I311">
        <v>-17.563960000000002</v>
      </c>
      <c r="J311">
        <f t="shared" si="27"/>
        <v>6.1417379999999966</v>
      </c>
      <c r="K311">
        <f t="shared" si="28"/>
        <v>5.2902880000000003</v>
      </c>
      <c r="L311">
        <f t="shared" si="29"/>
        <v>5.3840059999999994</v>
      </c>
      <c r="M311">
        <f t="shared" si="30"/>
        <v>5.1473150000000025</v>
      </c>
      <c r="N311">
        <f t="shared" si="31"/>
        <v>5.1932939999999981</v>
      </c>
    </row>
    <row r="312" spans="1:14" x14ac:dyDescent="0.2">
      <c r="A312" s="1">
        <v>311</v>
      </c>
      <c r="B312" s="6" t="s">
        <v>327</v>
      </c>
      <c r="C312" s="5">
        <v>3</v>
      </c>
      <c r="D312" s="8">
        <v>4.5850220000000004</v>
      </c>
      <c r="E312" s="1">
        <v>-18.458593</v>
      </c>
      <c r="F312" s="1">
        <v>-17.208644</v>
      </c>
      <c r="G312" s="1">
        <v>-13.991339</v>
      </c>
      <c r="H312" s="1">
        <v>-15.46167</v>
      </c>
      <c r="I312">
        <v>-15.359665</v>
      </c>
      <c r="J312">
        <f t="shared" si="27"/>
        <v>9.8794769999999978</v>
      </c>
      <c r="K312">
        <f t="shared" si="28"/>
        <v>7.6636370000000014</v>
      </c>
      <c r="L312">
        <f t="shared" si="29"/>
        <v>7.1059739999999998</v>
      </c>
      <c r="M312">
        <f t="shared" si="30"/>
        <v>7.2018320000000013</v>
      </c>
      <c r="N312">
        <f t="shared" si="31"/>
        <v>7.397589</v>
      </c>
    </row>
    <row r="313" spans="1:14" x14ac:dyDescent="0.2">
      <c r="A313" s="1">
        <v>312</v>
      </c>
      <c r="B313" s="6" t="s">
        <v>328</v>
      </c>
      <c r="C313" s="5">
        <v>3</v>
      </c>
      <c r="D313" s="8">
        <v>4.6956579999999999</v>
      </c>
      <c r="E313" s="1">
        <v>-22.018549</v>
      </c>
      <c r="F313" s="1">
        <v>-19.216795999999999</v>
      </c>
      <c r="G313" s="1">
        <v>-14.990205</v>
      </c>
      <c r="H313" s="1">
        <v>-16.174323000000001</v>
      </c>
      <c r="I313">
        <v>-16.025327999999998</v>
      </c>
      <c r="J313">
        <f t="shared" si="27"/>
        <v>6.3195209999999982</v>
      </c>
      <c r="K313">
        <f t="shared" si="28"/>
        <v>5.6554850000000023</v>
      </c>
      <c r="L313">
        <f t="shared" si="29"/>
        <v>6.1071080000000002</v>
      </c>
      <c r="M313">
        <f t="shared" si="30"/>
        <v>6.489179</v>
      </c>
      <c r="N313">
        <f t="shared" si="31"/>
        <v>6.7319260000000014</v>
      </c>
    </row>
    <row r="314" spans="1:14" x14ac:dyDescent="0.2">
      <c r="A314" s="1">
        <v>313</v>
      </c>
      <c r="B314" s="6" t="s">
        <v>329</v>
      </c>
      <c r="C314" s="5">
        <v>3</v>
      </c>
      <c r="D314" s="8">
        <v>3.4028260000000001</v>
      </c>
      <c r="E314" s="1">
        <v>-22.44154</v>
      </c>
      <c r="F314" s="1">
        <v>-20.422001999999999</v>
      </c>
      <c r="G314" s="1">
        <v>-17.084748999999999</v>
      </c>
      <c r="H314" s="1">
        <v>-18.948955999999999</v>
      </c>
      <c r="I314">
        <v>-18.875990000000002</v>
      </c>
      <c r="J314">
        <f t="shared" si="27"/>
        <v>5.8965299999999985</v>
      </c>
      <c r="K314">
        <f t="shared" si="28"/>
        <v>4.4502790000000019</v>
      </c>
      <c r="L314">
        <f t="shared" si="29"/>
        <v>4.0125640000000011</v>
      </c>
      <c r="M314">
        <f t="shared" si="30"/>
        <v>3.7145460000000021</v>
      </c>
      <c r="N314">
        <f t="shared" si="31"/>
        <v>3.881263999999998</v>
      </c>
    </row>
    <row r="315" spans="1:14" x14ac:dyDescent="0.2">
      <c r="A315" s="1">
        <v>314</v>
      </c>
      <c r="B315" s="6" t="s">
        <v>330</v>
      </c>
      <c r="C315" s="5">
        <v>3</v>
      </c>
      <c r="D315" s="8">
        <v>4.8967539999999996</v>
      </c>
      <c r="E315" s="1">
        <v>-21.516102</v>
      </c>
      <c r="F315" s="1">
        <v>-18.885846000000001</v>
      </c>
      <c r="G315" s="1">
        <v>-15.806528999999999</v>
      </c>
      <c r="H315" s="1">
        <v>-17.408206</v>
      </c>
      <c r="I315">
        <v>-17.330133</v>
      </c>
      <c r="J315">
        <f t="shared" si="27"/>
        <v>6.8219679999999983</v>
      </c>
      <c r="K315">
        <f t="shared" si="28"/>
        <v>5.9864350000000002</v>
      </c>
      <c r="L315">
        <f t="shared" si="29"/>
        <v>5.2907840000000004</v>
      </c>
      <c r="M315">
        <f t="shared" si="30"/>
        <v>5.2552960000000013</v>
      </c>
      <c r="N315">
        <f t="shared" si="31"/>
        <v>5.4271209999999996</v>
      </c>
    </row>
    <row r="316" spans="1:14" x14ac:dyDescent="0.2">
      <c r="A316" s="1">
        <v>315</v>
      </c>
      <c r="B316" s="6" t="s">
        <v>331</v>
      </c>
      <c r="C316" s="5">
        <v>3</v>
      </c>
      <c r="D316" s="8">
        <v>4.9705579999999996</v>
      </c>
      <c r="E316" s="1">
        <v>-23.653444</v>
      </c>
      <c r="F316" s="1">
        <v>-21.181685999999999</v>
      </c>
      <c r="G316" s="1">
        <v>-17.041052000000001</v>
      </c>
      <c r="H316" s="1">
        <v>-18.378685000000001</v>
      </c>
      <c r="I316">
        <v>-18.204730000000001</v>
      </c>
      <c r="J316">
        <f t="shared" si="27"/>
        <v>4.684625999999998</v>
      </c>
      <c r="K316">
        <f t="shared" si="28"/>
        <v>3.6905950000000018</v>
      </c>
      <c r="L316">
        <f t="shared" si="29"/>
        <v>4.0562609999999992</v>
      </c>
      <c r="M316">
        <f t="shared" si="30"/>
        <v>4.2848170000000003</v>
      </c>
      <c r="N316">
        <f t="shared" si="31"/>
        <v>4.5525239999999982</v>
      </c>
    </row>
    <row r="317" spans="1:14" x14ac:dyDescent="0.2">
      <c r="A317" s="1">
        <v>316</v>
      </c>
      <c r="B317" s="6" t="s">
        <v>332</v>
      </c>
      <c r="C317" s="5">
        <v>3</v>
      </c>
      <c r="D317" s="8">
        <v>3.6211929999999999</v>
      </c>
      <c r="E317" s="1">
        <v>-19.166374000000001</v>
      </c>
      <c r="F317" s="1">
        <v>-17.314682000000001</v>
      </c>
      <c r="G317" s="1">
        <v>-13.306709</v>
      </c>
      <c r="H317" s="1">
        <v>-14.843579</v>
      </c>
      <c r="I317">
        <v>-14.855743</v>
      </c>
      <c r="J317">
        <f t="shared" si="27"/>
        <v>9.1716959999999972</v>
      </c>
      <c r="K317">
        <f t="shared" si="28"/>
        <v>7.5575989999999997</v>
      </c>
      <c r="L317">
        <f t="shared" si="29"/>
        <v>7.7906040000000001</v>
      </c>
      <c r="M317">
        <f t="shared" si="30"/>
        <v>7.8199230000000011</v>
      </c>
      <c r="N317">
        <f t="shared" si="31"/>
        <v>7.9015109999999993</v>
      </c>
    </row>
    <row r="318" spans="1:14" x14ac:dyDescent="0.2">
      <c r="A318" s="1">
        <v>317</v>
      </c>
      <c r="B318" s="6" t="s">
        <v>333</v>
      </c>
      <c r="C318" s="5">
        <v>3</v>
      </c>
      <c r="D318" s="8">
        <v>4.703106</v>
      </c>
      <c r="E318" s="1">
        <v>-21.319838000000001</v>
      </c>
      <c r="F318" s="1">
        <v>-20.295323</v>
      </c>
      <c r="G318" s="1">
        <v>-18.204103</v>
      </c>
      <c r="H318" s="1">
        <v>-19.966836000000001</v>
      </c>
      <c r="I318">
        <v>-20.097693</v>
      </c>
      <c r="J318">
        <f t="shared" si="27"/>
        <v>7.0182319999999976</v>
      </c>
      <c r="K318">
        <f t="shared" si="28"/>
        <v>4.5769580000000012</v>
      </c>
      <c r="L318">
        <f t="shared" si="29"/>
        <v>2.8932099999999998</v>
      </c>
      <c r="M318">
        <f t="shared" si="30"/>
        <v>2.6966660000000005</v>
      </c>
      <c r="N318">
        <f t="shared" si="31"/>
        <v>2.6595610000000001</v>
      </c>
    </row>
    <row r="319" spans="1:14" x14ac:dyDescent="0.2">
      <c r="A319" s="1">
        <v>318</v>
      </c>
      <c r="B319" s="6" t="s">
        <v>334</v>
      </c>
      <c r="C319" s="5">
        <v>3</v>
      </c>
      <c r="D319" s="8">
        <v>5.2543899999999999</v>
      </c>
      <c r="E319" s="1">
        <v>-21.707595999999999</v>
      </c>
      <c r="F319" s="1">
        <v>-20.363468000000001</v>
      </c>
      <c r="G319" s="1">
        <v>-17.617277999999999</v>
      </c>
      <c r="H319" s="1">
        <v>-18.638380000000002</v>
      </c>
      <c r="I319">
        <v>-18.736260000000001</v>
      </c>
      <c r="J319">
        <f t="shared" si="27"/>
        <v>6.6304739999999995</v>
      </c>
      <c r="K319">
        <f t="shared" si="28"/>
        <v>4.508813</v>
      </c>
      <c r="L319">
        <f t="shared" si="29"/>
        <v>3.4800350000000009</v>
      </c>
      <c r="M319">
        <f t="shared" si="30"/>
        <v>4.0251219999999996</v>
      </c>
      <c r="N319">
        <f t="shared" si="31"/>
        <v>4.0209939999999982</v>
      </c>
    </row>
    <row r="320" spans="1:14" x14ac:dyDescent="0.2">
      <c r="A320" s="1">
        <v>319</v>
      </c>
      <c r="B320" s="6" t="s">
        <v>335</v>
      </c>
      <c r="C320" s="5">
        <v>3</v>
      </c>
      <c r="D320" s="8">
        <v>5.6252209999999998</v>
      </c>
      <c r="E320" s="1">
        <v>-17.622336000000001</v>
      </c>
      <c r="F320" s="1">
        <v>-16.889692</v>
      </c>
      <c r="G320" s="1">
        <v>-15.036151</v>
      </c>
      <c r="H320" s="1">
        <v>-17.208043</v>
      </c>
      <c r="I320">
        <v>-17.256056000000001</v>
      </c>
      <c r="J320">
        <f t="shared" si="27"/>
        <v>10.715733999999998</v>
      </c>
      <c r="K320">
        <f t="shared" si="28"/>
        <v>7.9825890000000008</v>
      </c>
      <c r="L320">
        <f t="shared" si="29"/>
        <v>6.0611619999999995</v>
      </c>
      <c r="M320">
        <f t="shared" si="30"/>
        <v>5.4554590000000012</v>
      </c>
      <c r="N320">
        <f t="shared" si="31"/>
        <v>5.5011979999999987</v>
      </c>
    </row>
    <row r="321" spans="1:14" x14ac:dyDescent="0.2">
      <c r="A321" s="1">
        <v>320</v>
      </c>
      <c r="B321" s="6" t="s">
        <v>336</v>
      </c>
      <c r="C321" s="5">
        <v>3</v>
      </c>
      <c r="D321" s="8">
        <v>5.7116009999999999</v>
      </c>
      <c r="E321" s="1">
        <v>-17.597344</v>
      </c>
      <c r="F321" s="1">
        <v>-17.184508999999998</v>
      </c>
      <c r="G321" s="1">
        <v>-15.889699999999999</v>
      </c>
      <c r="H321" s="1">
        <v>-17.003478999999999</v>
      </c>
      <c r="I321">
        <v>-17.098625999999999</v>
      </c>
      <c r="J321">
        <f t="shared" si="27"/>
        <v>10.740725999999999</v>
      </c>
      <c r="K321">
        <f t="shared" si="28"/>
        <v>7.6877720000000025</v>
      </c>
      <c r="L321">
        <f t="shared" si="29"/>
        <v>5.2076130000000003</v>
      </c>
      <c r="M321">
        <f t="shared" si="30"/>
        <v>5.6600230000000025</v>
      </c>
      <c r="N321">
        <f t="shared" si="31"/>
        <v>5.6586280000000002</v>
      </c>
    </row>
    <row r="322" spans="1:14" x14ac:dyDescent="0.2">
      <c r="A322" s="1">
        <v>321</v>
      </c>
      <c r="B322" s="6" t="s">
        <v>337</v>
      </c>
      <c r="C322" s="5">
        <v>3</v>
      </c>
      <c r="D322" s="8">
        <v>3.285304</v>
      </c>
      <c r="E322" s="1">
        <v>-20.393840000000001</v>
      </c>
      <c r="F322" s="1">
        <v>-18.231529999999999</v>
      </c>
      <c r="G322" s="1">
        <v>-13.703153</v>
      </c>
      <c r="H322" s="1">
        <v>-14.862617999999999</v>
      </c>
      <c r="I322">
        <v>-14.811313999999999</v>
      </c>
      <c r="J322">
        <f t="shared" si="27"/>
        <v>7.9442299999999975</v>
      </c>
      <c r="K322">
        <f t="shared" si="28"/>
        <v>6.6407510000000016</v>
      </c>
      <c r="L322">
        <f t="shared" si="29"/>
        <v>7.3941599999999994</v>
      </c>
      <c r="M322">
        <f t="shared" si="30"/>
        <v>7.8008840000000017</v>
      </c>
      <c r="N322">
        <f t="shared" si="31"/>
        <v>7.9459400000000002</v>
      </c>
    </row>
    <row r="323" spans="1:14" x14ac:dyDescent="0.2">
      <c r="A323" s="1">
        <v>322</v>
      </c>
      <c r="B323" s="6" t="s">
        <v>338</v>
      </c>
      <c r="C323" s="5">
        <v>3</v>
      </c>
      <c r="D323" s="8">
        <v>4.1691279999999997</v>
      </c>
      <c r="E323" s="1">
        <v>-22.018549</v>
      </c>
      <c r="F323" s="1">
        <v>-19.216795999999999</v>
      </c>
      <c r="G323" s="1">
        <v>-14.990205</v>
      </c>
      <c r="H323" s="1">
        <v>-16.174323000000001</v>
      </c>
      <c r="I323">
        <v>-16.025327999999998</v>
      </c>
      <c r="J323">
        <f t="shared" ref="J323:J386" si="32">E323-E$2</f>
        <v>6.3195209999999982</v>
      </c>
      <c r="K323">
        <f t="shared" ref="K323:K386" si="33">F323-F$2</f>
        <v>5.6554850000000023</v>
      </c>
      <c r="L323">
        <f t="shared" ref="L323:L386" si="34">G323-G$2</f>
        <v>6.1071080000000002</v>
      </c>
      <c r="M323">
        <f t="shared" ref="M323:M386" si="35">H323-H$2</f>
        <v>6.489179</v>
      </c>
      <c r="N323">
        <f t="shared" ref="N323:N386" si="36">I323-I$2</f>
        <v>6.7319260000000014</v>
      </c>
    </row>
    <row r="324" spans="1:14" x14ac:dyDescent="0.2">
      <c r="A324" s="1">
        <v>323</v>
      </c>
      <c r="B324" s="6" t="s">
        <v>339</v>
      </c>
      <c r="C324" s="5">
        <v>3</v>
      </c>
      <c r="D324" s="8">
        <v>5.4906119999999996</v>
      </c>
      <c r="E324" s="1">
        <v>-17.790236</v>
      </c>
      <c r="F324" s="1">
        <v>-17.453284</v>
      </c>
      <c r="G324" s="1">
        <v>-17.237832000000001</v>
      </c>
      <c r="H324" s="1">
        <v>-19.019003999999999</v>
      </c>
      <c r="I324">
        <v>-19.087869000000001</v>
      </c>
      <c r="J324">
        <f t="shared" si="32"/>
        <v>10.547833999999998</v>
      </c>
      <c r="K324">
        <f t="shared" si="33"/>
        <v>7.418997000000001</v>
      </c>
      <c r="L324">
        <f t="shared" si="34"/>
        <v>3.8594809999999988</v>
      </c>
      <c r="M324">
        <f t="shared" si="35"/>
        <v>3.6444980000000022</v>
      </c>
      <c r="N324">
        <f t="shared" si="36"/>
        <v>3.6693849999999983</v>
      </c>
    </row>
    <row r="325" spans="1:14" x14ac:dyDescent="0.2">
      <c r="A325" s="1">
        <v>324</v>
      </c>
      <c r="B325" s="6" t="s">
        <v>340</v>
      </c>
      <c r="C325" s="5">
        <v>3</v>
      </c>
      <c r="D325" s="8">
        <v>4.1587440000000004</v>
      </c>
      <c r="E325" s="1">
        <v>-21.48855</v>
      </c>
      <c r="F325" s="1">
        <v>-19.475954999999999</v>
      </c>
      <c r="G325" s="1">
        <v>-16.397936999999999</v>
      </c>
      <c r="H325" s="1">
        <v>-18.134277999999998</v>
      </c>
      <c r="I325">
        <v>-18.067882000000001</v>
      </c>
      <c r="J325">
        <f t="shared" si="32"/>
        <v>6.8495199999999983</v>
      </c>
      <c r="K325">
        <f t="shared" si="33"/>
        <v>5.396326000000002</v>
      </c>
      <c r="L325">
        <f t="shared" si="34"/>
        <v>4.6993760000000009</v>
      </c>
      <c r="M325">
        <f t="shared" si="35"/>
        <v>4.5292240000000028</v>
      </c>
      <c r="N325">
        <f t="shared" si="36"/>
        <v>4.6893719999999988</v>
      </c>
    </row>
    <row r="326" spans="1:14" x14ac:dyDescent="0.2">
      <c r="A326" s="1">
        <v>325</v>
      </c>
      <c r="B326" s="6" t="s">
        <v>341</v>
      </c>
      <c r="C326" s="5">
        <v>3</v>
      </c>
      <c r="D326" s="8">
        <v>4.8472460000000002</v>
      </c>
      <c r="E326" s="1">
        <v>-19.891393000000001</v>
      </c>
      <c r="F326" s="1">
        <v>-17.900580000000001</v>
      </c>
      <c r="G326" s="1">
        <v>-14.519477</v>
      </c>
      <c r="H326" s="1">
        <v>-16.096502000000001</v>
      </c>
      <c r="I326">
        <v>-16.116118</v>
      </c>
      <c r="J326">
        <f t="shared" si="32"/>
        <v>8.4466769999999975</v>
      </c>
      <c r="K326">
        <f t="shared" si="33"/>
        <v>6.9717009999999995</v>
      </c>
      <c r="L326">
        <f t="shared" si="34"/>
        <v>6.5778359999999996</v>
      </c>
      <c r="M326">
        <f t="shared" si="35"/>
        <v>6.5670000000000002</v>
      </c>
      <c r="N326">
        <f t="shared" si="36"/>
        <v>6.6411359999999995</v>
      </c>
    </row>
    <row r="327" spans="1:14" x14ac:dyDescent="0.2">
      <c r="A327" s="1">
        <v>326</v>
      </c>
      <c r="B327" s="6" t="s">
        <v>342</v>
      </c>
      <c r="C327" s="5">
        <v>3</v>
      </c>
      <c r="D327" s="8">
        <v>3.4964189999999999</v>
      </c>
      <c r="E327" s="1">
        <v>-24.541886000000002</v>
      </c>
      <c r="F327" s="1">
        <v>-22.252257</v>
      </c>
      <c r="G327" s="1">
        <v>-18.374241000000001</v>
      </c>
      <c r="H327" s="1">
        <v>-19.669972999999999</v>
      </c>
      <c r="I327">
        <v>-19.765864000000001</v>
      </c>
      <c r="J327">
        <f t="shared" si="32"/>
        <v>3.7961839999999967</v>
      </c>
      <c r="K327">
        <f t="shared" si="33"/>
        <v>2.6200240000000008</v>
      </c>
      <c r="L327">
        <f t="shared" si="34"/>
        <v>2.7230719999999984</v>
      </c>
      <c r="M327">
        <f t="shared" si="35"/>
        <v>2.9935290000000023</v>
      </c>
      <c r="N327">
        <f t="shared" si="36"/>
        <v>2.9913899999999991</v>
      </c>
    </row>
    <row r="328" spans="1:14" x14ac:dyDescent="0.2">
      <c r="A328" s="1">
        <v>327</v>
      </c>
      <c r="B328" s="6" t="s">
        <v>343</v>
      </c>
      <c r="C328" s="5">
        <v>3</v>
      </c>
      <c r="D328" s="8">
        <v>4.5329410000000001</v>
      </c>
      <c r="E328" s="1">
        <v>-18.532722</v>
      </c>
      <c r="F328" s="1">
        <v>-17.238098999999998</v>
      </c>
      <c r="G328" s="1">
        <v>-13.68727</v>
      </c>
      <c r="H328" s="1">
        <v>-14.916380999999999</v>
      </c>
      <c r="I328">
        <v>-14.76918</v>
      </c>
      <c r="J328">
        <f t="shared" si="32"/>
        <v>9.8053479999999986</v>
      </c>
      <c r="K328">
        <f t="shared" si="33"/>
        <v>7.6341820000000027</v>
      </c>
      <c r="L328">
        <f t="shared" si="34"/>
        <v>7.4100429999999999</v>
      </c>
      <c r="M328">
        <f t="shared" si="35"/>
        <v>7.7471210000000017</v>
      </c>
      <c r="N328">
        <f t="shared" si="36"/>
        <v>7.9880739999999992</v>
      </c>
    </row>
    <row r="329" spans="1:14" x14ac:dyDescent="0.2">
      <c r="A329" s="1">
        <v>328</v>
      </c>
      <c r="B329" s="6" t="s">
        <v>344</v>
      </c>
      <c r="C329" s="5">
        <v>3</v>
      </c>
      <c r="D329" s="8">
        <v>2.5290789999999999</v>
      </c>
      <c r="E329" s="1">
        <v>-25.373403</v>
      </c>
      <c r="F329" s="1">
        <v>-22.404375999999999</v>
      </c>
      <c r="G329" s="1">
        <v>-18.271692999999999</v>
      </c>
      <c r="H329" s="1">
        <v>-19.431408999999999</v>
      </c>
      <c r="I329">
        <v>-19.538924000000002</v>
      </c>
      <c r="J329">
        <f t="shared" si="32"/>
        <v>2.9646669999999986</v>
      </c>
      <c r="K329">
        <f t="shared" si="33"/>
        <v>2.4679050000000018</v>
      </c>
      <c r="L329">
        <f t="shared" si="34"/>
        <v>2.8256200000000007</v>
      </c>
      <c r="M329">
        <f t="shared" si="35"/>
        <v>3.2320930000000025</v>
      </c>
      <c r="N329">
        <f t="shared" si="36"/>
        <v>3.2183299999999981</v>
      </c>
    </row>
    <row r="330" spans="1:14" x14ac:dyDescent="0.2">
      <c r="A330" s="1">
        <v>329</v>
      </c>
      <c r="B330" s="6" t="s">
        <v>345</v>
      </c>
      <c r="C330" s="5">
        <v>3</v>
      </c>
      <c r="D330" s="8">
        <v>4.0710040000000003</v>
      </c>
      <c r="E330" s="1">
        <v>-21.562678999999999</v>
      </c>
      <c r="F330" s="1">
        <v>-19.505410000000001</v>
      </c>
      <c r="G330" s="1">
        <v>-16.093868000000001</v>
      </c>
      <c r="H330" s="1">
        <v>-17.588988000000001</v>
      </c>
      <c r="I330">
        <v>-17.477398000000001</v>
      </c>
      <c r="J330">
        <f t="shared" si="32"/>
        <v>6.7753909999999991</v>
      </c>
      <c r="K330">
        <f t="shared" si="33"/>
        <v>5.3668709999999997</v>
      </c>
      <c r="L330">
        <f t="shared" si="34"/>
        <v>5.0034449999999993</v>
      </c>
      <c r="M330">
        <f t="shared" si="35"/>
        <v>5.0745140000000006</v>
      </c>
      <c r="N330">
        <f t="shared" si="36"/>
        <v>5.2798559999999988</v>
      </c>
    </row>
    <row r="331" spans="1:14" x14ac:dyDescent="0.2">
      <c r="A331" s="1">
        <v>330</v>
      </c>
      <c r="B331" s="6" t="s">
        <v>346</v>
      </c>
      <c r="C331" s="5">
        <v>3</v>
      </c>
      <c r="D331" s="8">
        <v>4.7887769999999996</v>
      </c>
      <c r="E331" s="1">
        <v>-23.438155999999999</v>
      </c>
      <c r="F331" s="1">
        <v>-21.381488999999998</v>
      </c>
      <c r="G331" s="1">
        <v>-18.559878999999999</v>
      </c>
      <c r="H331" s="1">
        <v>-20.030460999999999</v>
      </c>
      <c r="I331">
        <v>-20.087275999999999</v>
      </c>
      <c r="J331">
        <f t="shared" si="32"/>
        <v>4.899913999999999</v>
      </c>
      <c r="K331">
        <f t="shared" si="33"/>
        <v>3.4907920000000026</v>
      </c>
      <c r="L331">
        <f t="shared" si="34"/>
        <v>2.5374340000000011</v>
      </c>
      <c r="M331">
        <f t="shared" si="35"/>
        <v>2.6330410000000022</v>
      </c>
      <c r="N331">
        <f t="shared" si="36"/>
        <v>2.6699780000000004</v>
      </c>
    </row>
    <row r="332" spans="1:14" x14ac:dyDescent="0.2">
      <c r="A332" s="1">
        <v>331</v>
      </c>
      <c r="B332" s="6" t="s">
        <v>347</v>
      </c>
      <c r="C332" s="5">
        <v>3</v>
      </c>
      <c r="D332" s="8">
        <v>5.0846499999999999</v>
      </c>
      <c r="E332" s="1">
        <v>-19.317074999999999</v>
      </c>
      <c r="F332" s="1">
        <v>-17.841197000000001</v>
      </c>
      <c r="G332" s="1">
        <v>-14.961917</v>
      </c>
      <c r="H332" s="1">
        <v>-16.452452000000001</v>
      </c>
      <c r="I332">
        <v>-16.290507000000002</v>
      </c>
      <c r="J332">
        <f t="shared" si="32"/>
        <v>9.0209949999999992</v>
      </c>
      <c r="K332">
        <f t="shared" si="33"/>
        <v>7.0310839999999999</v>
      </c>
      <c r="L332">
        <f t="shared" si="34"/>
        <v>6.1353960000000001</v>
      </c>
      <c r="M332">
        <f t="shared" si="35"/>
        <v>6.2110500000000002</v>
      </c>
      <c r="N332">
        <f t="shared" si="36"/>
        <v>6.466746999999998</v>
      </c>
    </row>
    <row r="333" spans="1:14" x14ac:dyDescent="0.2">
      <c r="A333" s="1">
        <v>332</v>
      </c>
      <c r="B333" s="6" t="s">
        <v>348</v>
      </c>
      <c r="C333" s="5">
        <v>3</v>
      </c>
      <c r="D333" s="8">
        <v>5.0955830000000004</v>
      </c>
      <c r="E333" s="1">
        <v>-18.486145</v>
      </c>
      <c r="F333" s="1">
        <v>-16.618534</v>
      </c>
      <c r="G333" s="1">
        <v>-13.399931</v>
      </c>
      <c r="H333" s="1">
        <v>-14.735598</v>
      </c>
      <c r="I333">
        <v>-14.621915</v>
      </c>
      <c r="J333">
        <f t="shared" si="32"/>
        <v>9.8519249999999978</v>
      </c>
      <c r="K333">
        <f t="shared" si="33"/>
        <v>8.2537470000000006</v>
      </c>
      <c r="L333">
        <f t="shared" si="34"/>
        <v>7.6973819999999993</v>
      </c>
      <c r="M333">
        <f t="shared" si="35"/>
        <v>7.9279040000000016</v>
      </c>
      <c r="N333">
        <f t="shared" si="36"/>
        <v>8.1353390000000001</v>
      </c>
    </row>
    <row r="334" spans="1:14" x14ac:dyDescent="0.2">
      <c r="A334" s="1">
        <v>333</v>
      </c>
      <c r="B334" s="6" t="s">
        <v>349</v>
      </c>
      <c r="C334" s="5">
        <v>3</v>
      </c>
      <c r="D334" s="8">
        <v>5.5564710000000002</v>
      </c>
      <c r="E334" s="1">
        <v>-20.681415999999999</v>
      </c>
      <c r="F334" s="1">
        <v>-17.306092</v>
      </c>
      <c r="G334" s="1">
        <v>-13.179397</v>
      </c>
      <c r="H334" s="1">
        <v>-14.56847</v>
      </c>
      <c r="I334">
        <v>-14.360588999999999</v>
      </c>
      <c r="J334">
        <f t="shared" si="32"/>
        <v>7.6566539999999996</v>
      </c>
      <c r="K334">
        <f t="shared" si="33"/>
        <v>7.5661890000000014</v>
      </c>
      <c r="L334">
        <f t="shared" si="34"/>
        <v>7.917916</v>
      </c>
      <c r="M334">
        <f t="shared" si="35"/>
        <v>8.0950320000000016</v>
      </c>
      <c r="N334">
        <f t="shared" si="36"/>
        <v>8.3966650000000005</v>
      </c>
    </row>
    <row r="335" spans="1:14" x14ac:dyDescent="0.2">
      <c r="A335" s="1">
        <v>334</v>
      </c>
      <c r="B335" s="6" t="s">
        <v>350</v>
      </c>
      <c r="C335" s="5">
        <v>3</v>
      </c>
      <c r="D335" s="8">
        <v>4.1460280000000003</v>
      </c>
      <c r="E335" s="1">
        <v>-23.680997000000001</v>
      </c>
      <c r="F335" s="1">
        <v>-20.591577000000001</v>
      </c>
      <c r="G335" s="1">
        <v>-16.449643999999999</v>
      </c>
      <c r="H335" s="1">
        <v>-17.652612999999999</v>
      </c>
      <c r="I335">
        <v>-17.46698</v>
      </c>
      <c r="J335">
        <f t="shared" si="32"/>
        <v>4.6570729999999969</v>
      </c>
      <c r="K335">
        <f t="shared" si="33"/>
        <v>4.2807040000000001</v>
      </c>
      <c r="L335">
        <f t="shared" si="34"/>
        <v>4.6476690000000005</v>
      </c>
      <c r="M335">
        <f t="shared" si="35"/>
        <v>5.0108890000000024</v>
      </c>
      <c r="N335">
        <f t="shared" si="36"/>
        <v>5.2902740000000001</v>
      </c>
    </row>
    <row r="336" spans="1:14" x14ac:dyDescent="0.2">
      <c r="A336" s="1">
        <v>335</v>
      </c>
      <c r="B336" s="6" t="s">
        <v>351</v>
      </c>
      <c r="C336" s="5">
        <v>3</v>
      </c>
      <c r="D336" s="8">
        <v>4.5070959999999998</v>
      </c>
      <c r="E336" s="1">
        <v>-21.319838000000001</v>
      </c>
      <c r="F336" s="1">
        <v>-20.295323</v>
      </c>
      <c r="G336" s="1">
        <v>-18.204103</v>
      </c>
      <c r="H336" s="1">
        <v>-19.966836000000001</v>
      </c>
      <c r="I336">
        <v>-20.097693</v>
      </c>
      <c r="J336">
        <f t="shared" si="32"/>
        <v>7.0182319999999976</v>
      </c>
      <c r="K336">
        <f t="shared" si="33"/>
        <v>4.5769580000000012</v>
      </c>
      <c r="L336">
        <f t="shared" si="34"/>
        <v>2.8932099999999998</v>
      </c>
      <c r="M336">
        <f t="shared" si="35"/>
        <v>2.6966660000000005</v>
      </c>
      <c r="N336">
        <f t="shared" si="36"/>
        <v>2.6595610000000001</v>
      </c>
    </row>
    <row r="337" spans="1:14" x14ac:dyDescent="0.2">
      <c r="A337" s="1">
        <v>336</v>
      </c>
      <c r="B337" s="6" t="s">
        <v>352</v>
      </c>
      <c r="C337" s="5">
        <v>3</v>
      </c>
      <c r="D337" s="8">
        <v>2.7766259999999998</v>
      </c>
      <c r="E337" s="1">
        <v>-23.710955999999999</v>
      </c>
      <c r="F337" s="1">
        <v>-21.029595</v>
      </c>
      <c r="G337" s="1">
        <v>-16.812255</v>
      </c>
      <c r="H337" s="1">
        <v>-17.953119000000001</v>
      </c>
      <c r="I337">
        <v>-18.097272</v>
      </c>
      <c r="J337">
        <f t="shared" si="32"/>
        <v>4.6271139999999988</v>
      </c>
      <c r="K337">
        <f t="shared" si="33"/>
        <v>3.8426860000000005</v>
      </c>
      <c r="L337">
        <f t="shared" si="34"/>
        <v>4.2850579999999994</v>
      </c>
      <c r="M337">
        <f t="shared" si="35"/>
        <v>4.7103830000000002</v>
      </c>
      <c r="N337">
        <f t="shared" si="36"/>
        <v>4.6599819999999994</v>
      </c>
    </row>
    <row r="338" spans="1:14" x14ac:dyDescent="0.2">
      <c r="A338" s="1">
        <v>337</v>
      </c>
      <c r="B338" s="6" t="s">
        <v>353</v>
      </c>
      <c r="C338" s="5">
        <v>3</v>
      </c>
      <c r="D338" s="8">
        <v>4.6727819999999998</v>
      </c>
      <c r="E338" s="1">
        <v>-21.009481000000001</v>
      </c>
      <c r="F338" s="1">
        <v>-19.653995999999999</v>
      </c>
      <c r="G338" s="1">
        <v>-16.783965999999999</v>
      </c>
      <c r="H338" s="1">
        <v>-18.231248000000001</v>
      </c>
      <c r="I338">
        <v>-18.362451</v>
      </c>
      <c r="J338">
        <f t="shared" si="32"/>
        <v>7.3285889999999974</v>
      </c>
      <c r="K338">
        <f t="shared" si="33"/>
        <v>5.2182850000000016</v>
      </c>
      <c r="L338">
        <f t="shared" si="34"/>
        <v>4.3133470000000003</v>
      </c>
      <c r="M338">
        <f t="shared" si="35"/>
        <v>4.4322540000000004</v>
      </c>
      <c r="N338">
        <f t="shared" si="36"/>
        <v>4.3948029999999996</v>
      </c>
    </row>
    <row r="339" spans="1:14" x14ac:dyDescent="0.2">
      <c r="A339" s="1">
        <v>338</v>
      </c>
      <c r="B339" s="6" t="s">
        <v>354</v>
      </c>
      <c r="C339" s="5">
        <v>3</v>
      </c>
      <c r="D339" s="8">
        <v>4.376201</v>
      </c>
      <c r="E339" s="1">
        <v>-21.108163999999999</v>
      </c>
      <c r="F339" s="1">
        <v>-18.868389000000001</v>
      </c>
      <c r="G339" s="1">
        <v>-16.339086999999999</v>
      </c>
      <c r="H339" s="1">
        <v>-18.465985</v>
      </c>
      <c r="I339">
        <v>-18.512204000000001</v>
      </c>
      <c r="J339">
        <f t="shared" si="32"/>
        <v>7.2299059999999997</v>
      </c>
      <c r="K339">
        <f t="shared" si="33"/>
        <v>6.0038920000000005</v>
      </c>
      <c r="L339">
        <f t="shared" si="34"/>
        <v>4.7582260000000005</v>
      </c>
      <c r="M339">
        <f t="shared" si="35"/>
        <v>4.1975170000000013</v>
      </c>
      <c r="N339">
        <f t="shared" si="36"/>
        <v>4.2450499999999991</v>
      </c>
    </row>
    <row r="340" spans="1:14" x14ac:dyDescent="0.2">
      <c r="A340" s="1">
        <v>339</v>
      </c>
      <c r="B340" s="6" t="s">
        <v>355</v>
      </c>
      <c r="C340" s="5">
        <v>3</v>
      </c>
      <c r="D340" s="8">
        <v>4.7421550000000003</v>
      </c>
      <c r="E340" s="1">
        <v>-22.606638</v>
      </c>
      <c r="F340" s="1">
        <v>-21.229371</v>
      </c>
      <c r="G340" s="1">
        <v>-18.662426</v>
      </c>
      <c r="H340" s="1">
        <v>-20.269024000000002</v>
      </c>
      <c r="I340">
        <v>-20.314215000000001</v>
      </c>
      <c r="J340">
        <f t="shared" si="32"/>
        <v>5.7314319999999981</v>
      </c>
      <c r="K340">
        <f t="shared" si="33"/>
        <v>3.6429100000000005</v>
      </c>
      <c r="L340">
        <f t="shared" si="34"/>
        <v>2.4348869999999998</v>
      </c>
      <c r="M340">
        <f t="shared" si="35"/>
        <v>2.3944779999999994</v>
      </c>
      <c r="N340">
        <f t="shared" si="36"/>
        <v>2.4430389999999989</v>
      </c>
    </row>
    <row r="341" spans="1:14" x14ac:dyDescent="0.2">
      <c r="A341" s="1">
        <v>340</v>
      </c>
      <c r="B341" s="6" t="s">
        <v>356</v>
      </c>
      <c r="C341" s="5">
        <v>3</v>
      </c>
      <c r="D341" s="8">
        <v>4.3009060000000003</v>
      </c>
      <c r="E341" s="1">
        <v>-23.694806</v>
      </c>
      <c r="F341" s="1">
        <v>-21.942974</v>
      </c>
      <c r="G341" s="1">
        <v>-18.036646999999999</v>
      </c>
      <c r="H341" s="1">
        <v>-19.319226</v>
      </c>
      <c r="I341">
        <v>-19.365971999999999</v>
      </c>
      <c r="J341">
        <f t="shared" si="32"/>
        <v>4.6432639999999985</v>
      </c>
      <c r="K341">
        <f t="shared" si="33"/>
        <v>2.9293070000000014</v>
      </c>
      <c r="L341">
        <f t="shared" si="34"/>
        <v>3.0606660000000012</v>
      </c>
      <c r="M341">
        <f t="shared" si="35"/>
        <v>3.3442760000000007</v>
      </c>
      <c r="N341">
        <f t="shared" si="36"/>
        <v>3.3912820000000004</v>
      </c>
    </row>
    <row r="342" spans="1:14" x14ac:dyDescent="0.2">
      <c r="A342" s="1">
        <v>341</v>
      </c>
      <c r="B342" s="6" t="s">
        <v>357</v>
      </c>
      <c r="C342" s="5">
        <v>3</v>
      </c>
      <c r="D342" s="8">
        <v>3.6446170000000002</v>
      </c>
      <c r="E342" s="1">
        <v>-21.48855</v>
      </c>
      <c r="F342" s="1">
        <v>-19.475954999999999</v>
      </c>
      <c r="G342" s="1">
        <v>-16.397936999999999</v>
      </c>
      <c r="H342" s="1">
        <v>-18.134277999999998</v>
      </c>
      <c r="I342">
        <v>-18.067882000000001</v>
      </c>
      <c r="J342">
        <f t="shared" si="32"/>
        <v>6.8495199999999983</v>
      </c>
      <c r="K342">
        <f t="shared" si="33"/>
        <v>5.396326000000002</v>
      </c>
      <c r="L342">
        <f t="shared" si="34"/>
        <v>4.6993760000000009</v>
      </c>
      <c r="M342">
        <f t="shared" si="35"/>
        <v>4.5292240000000028</v>
      </c>
      <c r="N342">
        <f t="shared" si="36"/>
        <v>4.6893719999999988</v>
      </c>
    </row>
    <row r="343" spans="1:14" x14ac:dyDescent="0.2">
      <c r="A343" s="1">
        <v>342</v>
      </c>
      <c r="B343" s="6" t="s">
        <v>358</v>
      </c>
      <c r="C343" s="5">
        <v>3</v>
      </c>
      <c r="D343" s="8">
        <v>2.8796379999999999</v>
      </c>
      <c r="E343" s="1">
        <v>-20.013453999999999</v>
      </c>
      <c r="F343" s="1">
        <v>-17.623964000000001</v>
      </c>
      <c r="G343" s="1">
        <v>-13.644303000000001</v>
      </c>
      <c r="H343" s="1">
        <v>-15.194326</v>
      </c>
      <c r="I343">
        <v>-15.255635</v>
      </c>
      <c r="J343">
        <f t="shared" si="32"/>
        <v>8.3246159999999989</v>
      </c>
      <c r="K343">
        <f t="shared" si="33"/>
        <v>7.2483170000000001</v>
      </c>
      <c r="L343">
        <f t="shared" si="34"/>
        <v>7.453009999999999</v>
      </c>
      <c r="M343">
        <f t="shared" si="35"/>
        <v>7.4691760000000009</v>
      </c>
      <c r="N343">
        <f t="shared" si="36"/>
        <v>7.5016189999999998</v>
      </c>
    </row>
    <row r="344" spans="1:14" x14ac:dyDescent="0.2">
      <c r="A344" s="1">
        <v>343</v>
      </c>
      <c r="B344" s="6" t="s">
        <v>359</v>
      </c>
      <c r="C344" s="5">
        <v>3</v>
      </c>
      <c r="D344" s="8">
        <v>2.8745949999999998</v>
      </c>
      <c r="E344" s="1">
        <v>-22.821926000000001</v>
      </c>
      <c r="F344" s="1">
        <v>-21.029567</v>
      </c>
      <c r="G344" s="1">
        <v>-17.143598999999998</v>
      </c>
      <c r="H344" s="1">
        <v>-18.617248</v>
      </c>
      <c r="I344">
        <v>-18.431668999999999</v>
      </c>
      <c r="J344">
        <f t="shared" si="32"/>
        <v>5.516143999999997</v>
      </c>
      <c r="K344">
        <f t="shared" si="33"/>
        <v>3.8427140000000009</v>
      </c>
      <c r="L344">
        <f t="shared" si="34"/>
        <v>3.9537140000000015</v>
      </c>
      <c r="M344">
        <f t="shared" si="35"/>
        <v>4.0462540000000011</v>
      </c>
      <c r="N344">
        <f t="shared" si="36"/>
        <v>4.3255850000000002</v>
      </c>
    </row>
    <row r="345" spans="1:14" x14ac:dyDescent="0.2">
      <c r="A345" s="1">
        <v>344</v>
      </c>
      <c r="B345" s="6" t="s">
        <v>360</v>
      </c>
      <c r="C345" s="5">
        <v>3</v>
      </c>
      <c r="D345" s="8">
        <v>4.3881839999999999</v>
      </c>
      <c r="E345" s="1">
        <v>-21.822285000000001</v>
      </c>
      <c r="F345" s="1">
        <v>-20.626273000000001</v>
      </c>
      <c r="G345" s="1">
        <v>-17.387779999999999</v>
      </c>
      <c r="H345" s="1">
        <v>-18.732952000000001</v>
      </c>
      <c r="I345">
        <v>-18.792888999999999</v>
      </c>
      <c r="J345">
        <f t="shared" si="32"/>
        <v>6.5157849999999975</v>
      </c>
      <c r="K345">
        <f t="shared" si="33"/>
        <v>4.2460079999999998</v>
      </c>
      <c r="L345">
        <f t="shared" si="34"/>
        <v>3.7095330000000004</v>
      </c>
      <c r="M345">
        <f t="shared" si="35"/>
        <v>3.9305500000000002</v>
      </c>
      <c r="N345">
        <f t="shared" si="36"/>
        <v>3.9643650000000008</v>
      </c>
    </row>
    <row r="346" spans="1:14" x14ac:dyDescent="0.2">
      <c r="A346" s="1">
        <v>345</v>
      </c>
      <c r="B346" s="6" t="s">
        <v>361</v>
      </c>
      <c r="C346" s="5">
        <v>3</v>
      </c>
      <c r="D346" s="8">
        <v>5.795509</v>
      </c>
      <c r="E346" s="1">
        <v>-20.495778000000001</v>
      </c>
      <c r="F346" s="1">
        <v>-19.020403000000002</v>
      </c>
      <c r="G346" s="1">
        <v>-14.665953</v>
      </c>
      <c r="H346" s="1">
        <v>-15.149013999999999</v>
      </c>
      <c r="I346">
        <v>-15.198845</v>
      </c>
      <c r="J346">
        <f t="shared" si="32"/>
        <v>7.8422919999999969</v>
      </c>
      <c r="K346">
        <f t="shared" si="33"/>
        <v>5.8518779999999992</v>
      </c>
      <c r="L346">
        <f t="shared" si="34"/>
        <v>6.4313599999999997</v>
      </c>
      <c r="M346">
        <f t="shared" si="35"/>
        <v>7.5144880000000018</v>
      </c>
      <c r="N346">
        <f t="shared" si="36"/>
        <v>7.5584089999999993</v>
      </c>
    </row>
    <row r="347" spans="1:14" x14ac:dyDescent="0.2">
      <c r="A347" s="1">
        <v>346</v>
      </c>
      <c r="B347" s="6" t="s">
        <v>362</v>
      </c>
      <c r="C347" s="5">
        <v>3</v>
      </c>
      <c r="D347" s="8">
        <v>4.912242</v>
      </c>
      <c r="E347" s="1">
        <v>-17.789717</v>
      </c>
      <c r="F347" s="1">
        <v>-15.957538</v>
      </c>
      <c r="G347" s="1">
        <v>-12.193949</v>
      </c>
      <c r="H347" s="1">
        <v>-12.471667999999999</v>
      </c>
      <c r="I347">
        <v>-12.555949999999999</v>
      </c>
      <c r="J347">
        <f t="shared" si="32"/>
        <v>10.548352999999999</v>
      </c>
      <c r="K347">
        <f t="shared" si="33"/>
        <v>8.9147430000000014</v>
      </c>
      <c r="L347">
        <f t="shared" si="34"/>
        <v>8.9033639999999998</v>
      </c>
      <c r="M347">
        <f t="shared" si="35"/>
        <v>10.191834000000002</v>
      </c>
      <c r="N347">
        <f t="shared" si="36"/>
        <v>10.201304</v>
      </c>
    </row>
    <row r="348" spans="1:14" x14ac:dyDescent="0.2">
      <c r="A348" s="1">
        <v>347</v>
      </c>
      <c r="B348" s="16" t="s">
        <v>363</v>
      </c>
      <c r="C348" s="5">
        <v>4</v>
      </c>
      <c r="D348" s="8">
        <v>6.6476139999999999</v>
      </c>
      <c r="E348" s="1">
        <v>-16.899740000000001</v>
      </c>
      <c r="F348" s="1">
        <v>-16.893072</v>
      </c>
      <c r="G348" s="1">
        <v>-16.668150000000001</v>
      </c>
      <c r="H348" s="1">
        <v>-19.237563000000002</v>
      </c>
      <c r="I348">
        <v>-19.352267000000001</v>
      </c>
      <c r="J348">
        <f t="shared" si="32"/>
        <v>11.438329999999997</v>
      </c>
      <c r="K348">
        <f t="shared" si="33"/>
        <v>7.9792090000000009</v>
      </c>
      <c r="L348">
        <f t="shared" si="34"/>
        <v>4.4291629999999991</v>
      </c>
      <c r="M348">
        <f t="shared" si="35"/>
        <v>3.4259389999999996</v>
      </c>
      <c r="N348">
        <f t="shared" si="36"/>
        <v>3.4049869999999984</v>
      </c>
    </row>
    <row r="349" spans="1:14" x14ac:dyDescent="0.2">
      <c r="A349" s="1">
        <v>348</v>
      </c>
      <c r="B349" s="16" t="s">
        <v>364</v>
      </c>
      <c r="C349" s="5">
        <v>4</v>
      </c>
      <c r="D349" s="8">
        <v>6.6450139999999998</v>
      </c>
      <c r="E349" s="1">
        <v>-14.568614</v>
      </c>
      <c r="F349" s="1">
        <v>-12.355178</v>
      </c>
      <c r="G349" s="1">
        <v>-10.247992999999999</v>
      </c>
      <c r="H349" s="1">
        <v>-11.97885</v>
      </c>
      <c r="I349">
        <v>-11.98212</v>
      </c>
      <c r="J349">
        <f t="shared" si="32"/>
        <v>13.769455999999998</v>
      </c>
      <c r="K349">
        <f t="shared" si="33"/>
        <v>12.517103000000001</v>
      </c>
      <c r="L349">
        <f t="shared" si="34"/>
        <v>10.849320000000001</v>
      </c>
      <c r="M349">
        <f t="shared" si="35"/>
        <v>10.684652000000002</v>
      </c>
      <c r="N349">
        <f t="shared" si="36"/>
        <v>10.775134</v>
      </c>
    </row>
    <row r="350" spans="1:14" x14ac:dyDescent="0.2">
      <c r="A350" s="1">
        <v>349</v>
      </c>
      <c r="B350" s="16" t="s">
        <v>365</v>
      </c>
      <c r="C350" s="5">
        <v>4</v>
      </c>
      <c r="D350" s="8">
        <v>6.4850940000000001</v>
      </c>
      <c r="E350" s="1">
        <v>-19.185932000000001</v>
      </c>
      <c r="F350" s="1">
        <v>-17.033450999999999</v>
      </c>
      <c r="G350" s="1">
        <v>-14.345181</v>
      </c>
      <c r="H350" s="1">
        <v>-15.835777</v>
      </c>
      <c r="I350">
        <v>-15.894644</v>
      </c>
      <c r="J350">
        <f t="shared" si="32"/>
        <v>9.1521379999999972</v>
      </c>
      <c r="K350">
        <f t="shared" si="33"/>
        <v>7.8388300000000015</v>
      </c>
      <c r="L350">
        <f t="shared" si="34"/>
        <v>6.7521319999999996</v>
      </c>
      <c r="M350">
        <f t="shared" si="35"/>
        <v>6.8277250000000009</v>
      </c>
      <c r="N350">
        <f t="shared" si="36"/>
        <v>6.8626100000000001</v>
      </c>
    </row>
    <row r="351" spans="1:14" x14ac:dyDescent="0.2">
      <c r="A351" s="1">
        <v>350</v>
      </c>
      <c r="B351" s="16" t="s">
        <v>366</v>
      </c>
      <c r="C351" s="5">
        <v>4</v>
      </c>
      <c r="D351" s="8">
        <v>6.4842490000000002</v>
      </c>
      <c r="E351" s="1">
        <v>-13.122161</v>
      </c>
      <c r="F351" s="1">
        <v>-13.083345</v>
      </c>
      <c r="G351" s="1">
        <v>-11.818405</v>
      </c>
      <c r="H351" s="1">
        <v>-13.61486</v>
      </c>
      <c r="I351">
        <v>-13.529794000000001</v>
      </c>
      <c r="J351">
        <f t="shared" si="32"/>
        <v>15.215908999999998</v>
      </c>
      <c r="K351">
        <f t="shared" si="33"/>
        <v>11.788936000000001</v>
      </c>
      <c r="L351">
        <f t="shared" si="34"/>
        <v>9.2789079999999995</v>
      </c>
      <c r="M351">
        <f t="shared" si="35"/>
        <v>9.048642000000001</v>
      </c>
      <c r="N351">
        <f t="shared" si="36"/>
        <v>9.2274599999999989</v>
      </c>
    </row>
    <row r="352" spans="1:14" x14ac:dyDescent="0.2">
      <c r="A352" s="1">
        <v>351</v>
      </c>
      <c r="B352" s="16" t="s">
        <v>367</v>
      </c>
      <c r="C352" s="5">
        <v>4</v>
      </c>
      <c r="D352" s="8">
        <v>6.4731880000000004</v>
      </c>
      <c r="E352" s="1">
        <v>-15.325388</v>
      </c>
      <c r="F352" s="1">
        <v>-16.570823000000001</v>
      </c>
      <c r="G352" s="1">
        <v>-14.728218</v>
      </c>
      <c r="H352" s="1">
        <v>-15.837878999999999</v>
      </c>
      <c r="I352">
        <v>-15.94069</v>
      </c>
      <c r="J352">
        <f t="shared" si="32"/>
        <v>13.012681999999998</v>
      </c>
      <c r="K352">
        <f t="shared" si="33"/>
        <v>8.3014580000000002</v>
      </c>
      <c r="L352">
        <f t="shared" si="34"/>
        <v>6.3690949999999997</v>
      </c>
      <c r="M352">
        <f t="shared" si="35"/>
        <v>6.825623000000002</v>
      </c>
      <c r="N352">
        <f t="shared" si="36"/>
        <v>6.8165639999999996</v>
      </c>
    </row>
    <row r="353" spans="1:14" x14ac:dyDescent="0.2">
      <c r="A353" s="1">
        <v>352</v>
      </c>
      <c r="B353" s="16" t="s">
        <v>368</v>
      </c>
      <c r="C353" s="5">
        <v>4</v>
      </c>
      <c r="D353" s="8">
        <v>6.4681949999999997</v>
      </c>
      <c r="E353" s="1">
        <v>-17.244769999999999</v>
      </c>
      <c r="F353" s="1">
        <v>-15.405659</v>
      </c>
      <c r="G353" s="1">
        <v>-13.980943</v>
      </c>
      <c r="H353" s="1">
        <v>-15.402594000000001</v>
      </c>
      <c r="I353">
        <v>-15.644415</v>
      </c>
      <c r="J353">
        <f t="shared" si="32"/>
        <v>11.093299999999999</v>
      </c>
      <c r="K353">
        <f t="shared" si="33"/>
        <v>9.466622000000001</v>
      </c>
      <c r="L353">
        <f t="shared" si="34"/>
        <v>7.1163699999999999</v>
      </c>
      <c r="M353">
        <f t="shared" si="35"/>
        <v>7.2609080000000006</v>
      </c>
      <c r="N353">
        <f t="shared" si="36"/>
        <v>7.1128389999999992</v>
      </c>
    </row>
    <row r="354" spans="1:14" x14ac:dyDescent="0.2">
      <c r="A354" s="1">
        <v>353</v>
      </c>
      <c r="B354" s="16" t="s">
        <v>369</v>
      </c>
      <c r="C354" s="5">
        <v>4</v>
      </c>
      <c r="D354" s="8">
        <v>6.4636459999999998</v>
      </c>
      <c r="E354" s="1">
        <v>-16.730841000000002</v>
      </c>
      <c r="F354" s="1">
        <v>-13.421761999999999</v>
      </c>
      <c r="G354" s="1">
        <v>-11.609344</v>
      </c>
      <c r="H354" s="1">
        <v>-12.824719999999999</v>
      </c>
      <c r="I354">
        <v>-13.032719</v>
      </c>
      <c r="J354">
        <f t="shared" si="32"/>
        <v>11.607228999999997</v>
      </c>
      <c r="K354">
        <f t="shared" si="33"/>
        <v>11.450519000000002</v>
      </c>
      <c r="L354">
        <f t="shared" si="34"/>
        <v>9.4879689999999997</v>
      </c>
      <c r="M354">
        <f t="shared" si="35"/>
        <v>9.8387820000000019</v>
      </c>
      <c r="N354">
        <f t="shared" si="36"/>
        <v>9.7245349999999995</v>
      </c>
    </row>
    <row r="355" spans="1:14" x14ac:dyDescent="0.2">
      <c r="A355" s="1">
        <v>354</v>
      </c>
      <c r="B355" s="16" t="s">
        <v>370</v>
      </c>
      <c r="C355" s="5">
        <v>4</v>
      </c>
      <c r="D355" s="8">
        <v>6.4295429999999998</v>
      </c>
      <c r="E355" s="1">
        <v>-16.595406000000001</v>
      </c>
      <c r="F355" s="1">
        <v>-16.842845000000001</v>
      </c>
      <c r="G355" s="1">
        <v>-17.192547000000001</v>
      </c>
      <c r="H355" s="1">
        <v>-19.09647</v>
      </c>
      <c r="I355">
        <v>-19.068677999999998</v>
      </c>
      <c r="J355">
        <f t="shared" si="32"/>
        <v>11.742663999999998</v>
      </c>
      <c r="K355">
        <f t="shared" si="33"/>
        <v>8.0294360000000005</v>
      </c>
      <c r="L355">
        <f t="shared" si="34"/>
        <v>3.9047659999999986</v>
      </c>
      <c r="M355">
        <f t="shared" si="35"/>
        <v>3.5670320000000011</v>
      </c>
      <c r="N355">
        <f t="shared" si="36"/>
        <v>3.6885760000000012</v>
      </c>
    </row>
    <row r="356" spans="1:14" x14ac:dyDescent="0.2">
      <c r="A356" s="1">
        <v>355</v>
      </c>
      <c r="B356" s="16" t="s">
        <v>371</v>
      </c>
      <c r="C356" s="5">
        <v>4</v>
      </c>
      <c r="D356" s="8">
        <v>6.4254119999999997</v>
      </c>
      <c r="E356" s="1">
        <v>-13.820561</v>
      </c>
      <c r="F356" s="1">
        <v>-11.931094999999999</v>
      </c>
      <c r="G356" s="1">
        <v>-9.5575080000000003</v>
      </c>
      <c r="H356" s="1">
        <v>-10.133327</v>
      </c>
      <c r="I356">
        <v>-10.015561</v>
      </c>
      <c r="J356">
        <f t="shared" si="32"/>
        <v>14.517508999999999</v>
      </c>
      <c r="K356">
        <f t="shared" si="33"/>
        <v>12.941186000000002</v>
      </c>
      <c r="L356">
        <f t="shared" si="34"/>
        <v>11.539804999999999</v>
      </c>
      <c r="M356">
        <f t="shared" si="35"/>
        <v>12.530175000000002</v>
      </c>
      <c r="N356">
        <f t="shared" si="36"/>
        <v>12.741693</v>
      </c>
    </row>
    <row r="357" spans="1:14" x14ac:dyDescent="0.2">
      <c r="A357" s="1">
        <v>356</v>
      </c>
      <c r="B357" s="16" t="s">
        <v>372</v>
      </c>
      <c r="C357" s="5">
        <v>4</v>
      </c>
      <c r="D357" s="8">
        <v>6.4144439999999996</v>
      </c>
      <c r="E357" s="1">
        <v>-15.045102</v>
      </c>
      <c r="F357" s="1">
        <v>-14.726478999999999</v>
      </c>
      <c r="G357" s="1">
        <v>-11.071114</v>
      </c>
      <c r="H357" s="1">
        <v>-11.336698999999999</v>
      </c>
      <c r="I357">
        <v>-11.594453</v>
      </c>
      <c r="J357">
        <f t="shared" si="32"/>
        <v>13.292967999999998</v>
      </c>
      <c r="K357">
        <f t="shared" si="33"/>
        <v>10.145802000000002</v>
      </c>
      <c r="L357">
        <f t="shared" si="34"/>
        <v>10.026199</v>
      </c>
      <c r="M357">
        <f t="shared" si="35"/>
        <v>11.326803000000002</v>
      </c>
      <c r="N357">
        <f t="shared" si="36"/>
        <v>11.162801</v>
      </c>
    </row>
    <row r="358" spans="1:14" x14ac:dyDescent="0.2">
      <c r="A358" s="1">
        <v>357</v>
      </c>
      <c r="B358" s="16" t="s">
        <v>373</v>
      </c>
      <c r="C358" s="5">
        <v>4</v>
      </c>
      <c r="D358" s="8">
        <v>6.3889259999999997</v>
      </c>
      <c r="E358" s="1">
        <v>-14.876704</v>
      </c>
      <c r="F358" s="1">
        <v>-14.527744999999999</v>
      </c>
      <c r="G358" s="1">
        <v>-12.536778999999999</v>
      </c>
      <c r="H358" s="1">
        <v>-14.100386</v>
      </c>
      <c r="I358">
        <v>-14.226661</v>
      </c>
      <c r="J358">
        <f t="shared" si="32"/>
        <v>13.461365999999998</v>
      </c>
      <c r="K358">
        <f t="shared" si="33"/>
        <v>10.344536000000002</v>
      </c>
      <c r="L358">
        <f t="shared" si="34"/>
        <v>8.5605340000000005</v>
      </c>
      <c r="M358">
        <f t="shared" si="35"/>
        <v>8.5631160000000008</v>
      </c>
      <c r="N358">
        <f t="shared" si="36"/>
        <v>8.5305929999999996</v>
      </c>
    </row>
    <row r="359" spans="1:14" x14ac:dyDescent="0.2">
      <c r="A359" s="1">
        <v>358</v>
      </c>
      <c r="B359" s="16" t="s">
        <v>374</v>
      </c>
      <c r="C359" s="5">
        <v>4</v>
      </c>
      <c r="D359" s="8">
        <v>6.2970199999999998</v>
      </c>
      <c r="E359" s="1">
        <v>-15.106672</v>
      </c>
      <c r="F359" s="1">
        <v>-14.124383999999999</v>
      </c>
      <c r="G359" s="1">
        <v>-11.039274000000001</v>
      </c>
      <c r="H359" s="1">
        <v>-11.171265999999999</v>
      </c>
      <c r="I359">
        <v>-11.346627</v>
      </c>
      <c r="J359">
        <f t="shared" si="32"/>
        <v>13.231397999999999</v>
      </c>
      <c r="K359">
        <f t="shared" si="33"/>
        <v>10.747897000000002</v>
      </c>
      <c r="L359">
        <f t="shared" si="34"/>
        <v>10.058038999999999</v>
      </c>
      <c r="M359">
        <f t="shared" si="35"/>
        <v>11.492236000000002</v>
      </c>
      <c r="N359">
        <f t="shared" si="36"/>
        <v>11.410627</v>
      </c>
    </row>
    <row r="360" spans="1:14" x14ac:dyDescent="0.2">
      <c r="A360" s="1">
        <v>359</v>
      </c>
      <c r="B360" s="16" t="s">
        <v>375</v>
      </c>
      <c r="C360" s="5">
        <v>4</v>
      </c>
      <c r="D360" s="8">
        <v>6.2773849999999998</v>
      </c>
      <c r="E360" s="1">
        <v>-19.712755999999999</v>
      </c>
      <c r="F360" s="1">
        <v>-18.439252</v>
      </c>
      <c r="G360" s="1">
        <v>-15.825405</v>
      </c>
      <c r="H360" s="1">
        <v>-17.299752999999999</v>
      </c>
      <c r="I360">
        <v>-17.497464999999998</v>
      </c>
      <c r="J360">
        <f t="shared" si="32"/>
        <v>8.6253139999999995</v>
      </c>
      <c r="K360">
        <f t="shared" si="33"/>
        <v>6.4330290000000012</v>
      </c>
      <c r="L360">
        <f t="shared" si="34"/>
        <v>5.2719079999999998</v>
      </c>
      <c r="M360">
        <f t="shared" si="35"/>
        <v>5.3637490000000021</v>
      </c>
      <c r="N360">
        <f t="shared" si="36"/>
        <v>5.2597890000000014</v>
      </c>
    </row>
    <row r="361" spans="1:14" x14ac:dyDescent="0.2">
      <c r="A361" s="1">
        <v>360</v>
      </c>
      <c r="B361" s="16" t="s">
        <v>376</v>
      </c>
      <c r="C361" s="5">
        <v>4</v>
      </c>
      <c r="D361" s="8">
        <v>6.2666849999999998</v>
      </c>
      <c r="E361" s="1">
        <v>-17.911411999999999</v>
      </c>
      <c r="F361" s="1">
        <v>-17.743444</v>
      </c>
      <c r="G361" s="1">
        <v>-14.894206000000001</v>
      </c>
      <c r="H361" s="1">
        <v>-15.644850999999999</v>
      </c>
      <c r="I361">
        <v>-15.744869</v>
      </c>
      <c r="J361">
        <f t="shared" si="32"/>
        <v>10.426658</v>
      </c>
      <c r="K361">
        <f t="shared" si="33"/>
        <v>7.1288370000000008</v>
      </c>
      <c r="L361">
        <f t="shared" si="34"/>
        <v>6.2031069999999993</v>
      </c>
      <c r="M361">
        <f t="shared" si="35"/>
        <v>7.018651000000002</v>
      </c>
      <c r="N361">
        <f t="shared" si="36"/>
        <v>7.0123850000000001</v>
      </c>
    </row>
    <row r="362" spans="1:14" x14ac:dyDescent="0.2">
      <c r="A362" s="1">
        <v>361</v>
      </c>
      <c r="B362" s="16" t="s">
        <v>377</v>
      </c>
      <c r="C362" s="5">
        <v>4</v>
      </c>
      <c r="D362" s="8">
        <v>6.2536199999999997</v>
      </c>
      <c r="E362" s="1">
        <v>-16.674658999999998</v>
      </c>
      <c r="F362" s="1">
        <v>-16.670397999999999</v>
      </c>
      <c r="G362" s="1">
        <v>-15.096276</v>
      </c>
      <c r="H362" s="1">
        <v>-16.186311</v>
      </c>
      <c r="I362">
        <v>-16.324660000000002</v>
      </c>
      <c r="J362">
        <f t="shared" si="32"/>
        <v>11.663411</v>
      </c>
      <c r="K362">
        <f t="shared" si="33"/>
        <v>8.2018830000000023</v>
      </c>
      <c r="L362">
        <f t="shared" si="34"/>
        <v>6.0010370000000002</v>
      </c>
      <c r="M362">
        <f t="shared" si="35"/>
        <v>6.4771910000000013</v>
      </c>
      <c r="N362">
        <f t="shared" si="36"/>
        <v>6.4325939999999981</v>
      </c>
    </row>
    <row r="363" spans="1:14" x14ac:dyDescent="0.2">
      <c r="A363" s="1">
        <v>362</v>
      </c>
      <c r="B363" s="16" t="s">
        <v>378</v>
      </c>
      <c r="C363" s="5">
        <v>4</v>
      </c>
      <c r="D363" s="8">
        <v>6.1985409999999996</v>
      </c>
      <c r="E363" s="1">
        <v>-16.017167000000001</v>
      </c>
      <c r="F363" s="1">
        <v>-17.766179999999999</v>
      </c>
      <c r="G363" s="1">
        <v>-16.851579000000001</v>
      </c>
      <c r="H363" s="1">
        <v>-18.828178000000001</v>
      </c>
      <c r="I363">
        <v>-19.0932</v>
      </c>
      <c r="J363">
        <f t="shared" si="32"/>
        <v>12.320902999999998</v>
      </c>
      <c r="K363">
        <f t="shared" si="33"/>
        <v>7.1061010000000024</v>
      </c>
      <c r="L363">
        <f t="shared" si="34"/>
        <v>4.2457339999999988</v>
      </c>
      <c r="M363">
        <f t="shared" si="35"/>
        <v>3.835324</v>
      </c>
      <c r="N363">
        <f t="shared" si="36"/>
        <v>3.6640540000000001</v>
      </c>
    </row>
    <row r="364" spans="1:14" x14ac:dyDescent="0.2">
      <c r="A364" s="1">
        <v>363</v>
      </c>
      <c r="B364" s="16" t="s">
        <v>379</v>
      </c>
      <c r="C364" s="5">
        <v>4</v>
      </c>
      <c r="D364" s="8">
        <v>6.1494739999999997</v>
      </c>
      <c r="E364" s="1">
        <v>-21.033864999999999</v>
      </c>
      <c r="F364" s="1">
        <v>-17.636251000000001</v>
      </c>
      <c r="G364" s="1">
        <v>-13.462878999999999</v>
      </c>
      <c r="H364" s="1">
        <v>-14.426876999999999</v>
      </c>
      <c r="I364">
        <v>-14.428217999999999</v>
      </c>
      <c r="J364">
        <f t="shared" si="32"/>
        <v>7.3042049999999996</v>
      </c>
      <c r="K364">
        <f t="shared" si="33"/>
        <v>7.2360299999999995</v>
      </c>
      <c r="L364">
        <f t="shared" si="34"/>
        <v>7.6344340000000006</v>
      </c>
      <c r="M364">
        <f t="shared" si="35"/>
        <v>8.2366250000000019</v>
      </c>
      <c r="N364">
        <f t="shared" si="36"/>
        <v>8.3290360000000003</v>
      </c>
    </row>
    <row r="365" spans="1:14" x14ac:dyDescent="0.2">
      <c r="A365" s="1">
        <v>364</v>
      </c>
      <c r="B365" s="16" t="s">
        <v>380</v>
      </c>
      <c r="C365" s="5">
        <v>4</v>
      </c>
      <c r="D365" s="8">
        <v>6.145289</v>
      </c>
      <c r="E365" s="1">
        <v>-14.14387</v>
      </c>
      <c r="F365" s="1">
        <v>-13.035507000000001</v>
      </c>
      <c r="G365" s="1">
        <v>-10.693823</v>
      </c>
      <c r="H365" s="1">
        <v>-12.210823</v>
      </c>
      <c r="I365">
        <v>-11.944515000000001</v>
      </c>
      <c r="J365">
        <f t="shared" si="32"/>
        <v>14.194199999999999</v>
      </c>
      <c r="K365">
        <f t="shared" si="33"/>
        <v>11.836774</v>
      </c>
      <c r="L365">
        <f t="shared" si="34"/>
        <v>10.40349</v>
      </c>
      <c r="M365">
        <f t="shared" si="35"/>
        <v>10.452679000000002</v>
      </c>
      <c r="N365">
        <f t="shared" si="36"/>
        <v>10.812738999999999</v>
      </c>
    </row>
    <row r="366" spans="1:14" x14ac:dyDescent="0.2">
      <c r="A366" s="1">
        <v>365</v>
      </c>
      <c r="B366" s="16" t="s">
        <v>381</v>
      </c>
      <c r="C366" s="5">
        <v>4</v>
      </c>
      <c r="D366" s="8">
        <v>6.1298450000000004</v>
      </c>
      <c r="E366" s="1">
        <v>-12.122648999999999</v>
      </c>
      <c r="F366" s="1">
        <v>-11.970079</v>
      </c>
      <c r="G366" s="1">
        <v>-11.539509000000001</v>
      </c>
      <c r="H366" s="1">
        <v>-13.145066999999999</v>
      </c>
      <c r="I366">
        <v>-13.068035999999999</v>
      </c>
      <c r="J366">
        <f t="shared" si="32"/>
        <v>16.215420999999999</v>
      </c>
      <c r="K366">
        <f t="shared" si="33"/>
        <v>12.902202000000001</v>
      </c>
      <c r="L366">
        <f t="shared" si="34"/>
        <v>9.5578039999999991</v>
      </c>
      <c r="M366">
        <f t="shared" si="35"/>
        <v>9.518435000000002</v>
      </c>
      <c r="N366">
        <f t="shared" si="36"/>
        <v>9.6892180000000003</v>
      </c>
    </row>
    <row r="367" spans="1:14" x14ac:dyDescent="0.2">
      <c r="A367" s="1">
        <v>366</v>
      </c>
      <c r="B367" s="16" t="s">
        <v>382</v>
      </c>
      <c r="C367" s="5">
        <v>4</v>
      </c>
      <c r="D367" s="8">
        <v>6.0766939999999998</v>
      </c>
      <c r="E367" s="1">
        <v>-19.510373999999999</v>
      </c>
      <c r="F367" s="1">
        <v>-19.134649</v>
      </c>
      <c r="G367" s="1">
        <v>-18.319137000000001</v>
      </c>
      <c r="H367" s="1">
        <v>-20.195425</v>
      </c>
      <c r="I367">
        <v>-20.245657999999999</v>
      </c>
      <c r="J367">
        <f t="shared" si="32"/>
        <v>8.8276959999999995</v>
      </c>
      <c r="K367">
        <f t="shared" si="33"/>
        <v>5.7376320000000014</v>
      </c>
      <c r="L367">
        <f t="shared" si="34"/>
        <v>2.7781759999999984</v>
      </c>
      <c r="M367">
        <f t="shared" si="35"/>
        <v>2.468077000000001</v>
      </c>
      <c r="N367">
        <f t="shared" si="36"/>
        <v>2.5115960000000008</v>
      </c>
    </row>
    <row r="368" spans="1:14" x14ac:dyDescent="0.2">
      <c r="A368" s="1">
        <v>367</v>
      </c>
      <c r="B368" s="16" t="s">
        <v>383</v>
      </c>
      <c r="C368" s="5">
        <v>4</v>
      </c>
      <c r="D368" s="8">
        <v>6.0042460000000002</v>
      </c>
      <c r="E368" s="1">
        <v>-17.597344</v>
      </c>
      <c r="F368" s="1">
        <v>-17.184508999999998</v>
      </c>
      <c r="G368" s="1">
        <v>-15.889699999999999</v>
      </c>
      <c r="H368" s="1">
        <v>-17.003478999999999</v>
      </c>
      <c r="I368">
        <v>-17.098625999999999</v>
      </c>
      <c r="J368">
        <f t="shared" si="32"/>
        <v>10.740725999999999</v>
      </c>
      <c r="K368">
        <f t="shared" si="33"/>
        <v>7.6877720000000025</v>
      </c>
      <c r="L368">
        <f t="shared" si="34"/>
        <v>5.2076130000000003</v>
      </c>
      <c r="M368">
        <f t="shared" si="35"/>
        <v>5.6600230000000025</v>
      </c>
      <c r="N368">
        <f t="shared" si="36"/>
        <v>5.6586280000000002</v>
      </c>
    </row>
    <row r="369" spans="1:14" x14ac:dyDescent="0.2">
      <c r="A369" s="1">
        <v>368</v>
      </c>
      <c r="B369" s="16" t="s">
        <v>384</v>
      </c>
      <c r="C369" s="5">
        <v>4</v>
      </c>
      <c r="D369" s="8">
        <v>5.9979630000000004</v>
      </c>
      <c r="E369" s="1">
        <v>-16.233402000000002</v>
      </c>
      <c r="F369" s="1">
        <v>-16.211499</v>
      </c>
      <c r="G369" s="1">
        <v>-12.994626</v>
      </c>
      <c r="H369" s="1">
        <v>-13.577249999999999</v>
      </c>
      <c r="I369">
        <v>-13.676386000000001</v>
      </c>
      <c r="J369">
        <f t="shared" si="32"/>
        <v>12.104667999999997</v>
      </c>
      <c r="K369">
        <f t="shared" si="33"/>
        <v>8.6607820000000011</v>
      </c>
      <c r="L369">
        <f t="shared" si="34"/>
        <v>8.1026869999999995</v>
      </c>
      <c r="M369">
        <f t="shared" si="35"/>
        <v>9.0862520000000018</v>
      </c>
      <c r="N369">
        <f t="shared" si="36"/>
        <v>9.0808679999999988</v>
      </c>
    </row>
    <row r="370" spans="1:14" x14ac:dyDescent="0.2">
      <c r="A370" s="1">
        <v>369</v>
      </c>
      <c r="B370" s="16" t="s">
        <v>385</v>
      </c>
      <c r="C370" s="5">
        <v>4</v>
      </c>
      <c r="D370" s="8">
        <v>5.9721799999999998</v>
      </c>
      <c r="E370" s="1">
        <v>-20.340085999999999</v>
      </c>
      <c r="F370" s="1">
        <v>-19.470938</v>
      </c>
      <c r="G370" s="1">
        <v>-16.670119</v>
      </c>
      <c r="H370" s="1">
        <v>-17.444063</v>
      </c>
      <c r="I370">
        <v>-17.469694</v>
      </c>
      <c r="J370">
        <f t="shared" si="32"/>
        <v>7.9979839999999989</v>
      </c>
      <c r="K370">
        <f t="shared" si="33"/>
        <v>5.4013430000000007</v>
      </c>
      <c r="L370">
        <f t="shared" si="34"/>
        <v>4.4271940000000001</v>
      </c>
      <c r="M370">
        <f t="shared" si="35"/>
        <v>5.2194390000000013</v>
      </c>
      <c r="N370">
        <f t="shared" si="36"/>
        <v>5.2875599999999991</v>
      </c>
    </row>
    <row r="371" spans="1:14" x14ac:dyDescent="0.2">
      <c r="A371" s="1">
        <v>370</v>
      </c>
      <c r="B371" s="16" t="s">
        <v>386</v>
      </c>
      <c r="C371" s="5">
        <v>4</v>
      </c>
      <c r="D371" s="8">
        <v>5.9593179999999997</v>
      </c>
      <c r="E371" s="1">
        <v>-15.334037</v>
      </c>
      <c r="F371" s="1">
        <v>-16.809795999999999</v>
      </c>
      <c r="G371" s="1">
        <v>-17.919367999999999</v>
      </c>
      <c r="H371" s="1">
        <v>-21.220161999999998</v>
      </c>
      <c r="I371">
        <v>-21.502528000000002</v>
      </c>
      <c r="J371">
        <f t="shared" si="32"/>
        <v>13.004032999999998</v>
      </c>
      <c r="K371">
        <f t="shared" si="33"/>
        <v>8.0624850000000023</v>
      </c>
      <c r="L371">
        <f t="shared" si="34"/>
        <v>3.1779450000000011</v>
      </c>
      <c r="M371">
        <f t="shared" si="35"/>
        <v>1.4433400000000027</v>
      </c>
      <c r="N371">
        <f t="shared" si="36"/>
        <v>1.254725999999998</v>
      </c>
    </row>
    <row r="372" spans="1:14" x14ac:dyDescent="0.2">
      <c r="A372" s="1">
        <v>371</v>
      </c>
      <c r="B372" s="16" t="s">
        <v>387</v>
      </c>
      <c r="C372" s="5">
        <v>4</v>
      </c>
      <c r="D372" s="8">
        <v>5.9085739999999998</v>
      </c>
      <c r="E372" s="1">
        <v>-19.891102</v>
      </c>
      <c r="F372" s="1">
        <v>-18.469628</v>
      </c>
      <c r="G372" s="1">
        <v>-17.148213999999999</v>
      </c>
      <c r="H372" s="1">
        <v>-18.683188000000001</v>
      </c>
      <c r="I372">
        <v>-18.842683999999998</v>
      </c>
      <c r="J372">
        <f t="shared" si="32"/>
        <v>8.4469679999999983</v>
      </c>
      <c r="K372">
        <f t="shared" si="33"/>
        <v>6.4026530000000008</v>
      </c>
      <c r="L372">
        <f t="shared" si="34"/>
        <v>3.9490990000000004</v>
      </c>
      <c r="M372">
        <f t="shared" si="35"/>
        <v>3.9803139999999999</v>
      </c>
      <c r="N372">
        <f t="shared" si="36"/>
        <v>3.9145700000000012</v>
      </c>
    </row>
    <row r="373" spans="1:14" x14ac:dyDescent="0.2">
      <c r="A373" s="1">
        <v>372</v>
      </c>
      <c r="B373" s="16" t="s">
        <v>388</v>
      </c>
      <c r="C373" s="5">
        <v>4</v>
      </c>
      <c r="D373" s="8">
        <v>5.8416920000000001</v>
      </c>
      <c r="E373" s="1">
        <v>-19.506436999999998</v>
      </c>
      <c r="F373" s="1">
        <v>-17.588657000000001</v>
      </c>
      <c r="G373" s="1">
        <v>-15.730305</v>
      </c>
      <c r="H373" s="1">
        <v>-17.915849999999999</v>
      </c>
      <c r="I373">
        <v>-17.871141000000001</v>
      </c>
      <c r="J373">
        <f t="shared" si="32"/>
        <v>8.8316330000000001</v>
      </c>
      <c r="K373">
        <f t="shared" si="33"/>
        <v>7.2836239999999997</v>
      </c>
      <c r="L373">
        <f t="shared" si="34"/>
        <v>5.3670080000000002</v>
      </c>
      <c r="M373">
        <f t="shared" si="35"/>
        <v>4.7476520000000022</v>
      </c>
      <c r="N373">
        <f t="shared" si="36"/>
        <v>4.8861129999999982</v>
      </c>
    </row>
    <row r="374" spans="1:14" x14ac:dyDescent="0.2">
      <c r="A374" s="1">
        <v>373</v>
      </c>
      <c r="B374" s="16" t="s">
        <v>389</v>
      </c>
      <c r="C374" s="5">
        <v>4</v>
      </c>
      <c r="D374" s="8">
        <v>5.8150089999999999</v>
      </c>
      <c r="E374" s="1">
        <v>-20.167615999999999</v>
      </c>
      <c r="F374" s="1">
        <v>-19.202988999999999</v>
      </c>
      <c r="G374" s="1">
        <v>-15.738117000000001</v>
      </c>
      <c r="H374" s="1">
        <v>-17.120743000000001</v>
      </c>
      <c r="I374">
        <v>-16.948581999999998</v>
      </c>
      <c r="J374">
        <f t="shared" si="32"/>
        <v>8.1704539999999994</v>
      </c>
      <c r="K374">
        <f t="shared" si="33"/>
        <v>5.6692920000000022</v>
      </c>
      <c r="L374">
        <f t="shared" si="34"/>
        <v>5.359195999999999</v>
      </c>
      <c r="M374">
        <f t="shared" si="35"/>
        <v>5.5427590000000002</v>
      </c>
      <c r="N374">
        <f t="shared" si="36"/>
        <v>5.8086720000000014</v>
      </c>
    </row>
    <row r="375" spans="1:14" x14ac:dyDescent="0.2">
      <c r="A375" s="1">
        <v>374</v>
      </c>
      <c r="B375" s="16" t="s">
        <v>390</v>
      </c>
      <c r="C375" s="5">
        <v>4</v>
      </c>
      <c r="D375" s="8">
        <v>5.7624339999999998</v>
      </c>
      <c r="E375" s="1">
        <v>-14.914906</v>
      </c>
      <c r="F375" s="1">
        <v>-15.656067999999999</v>
      </c>
      <c r="G375" s="1">
        <v>-12.945786999999999</v>
      </c>
      <c r="H375" s="1">
        <v>-14.264055000000001</v>
      </c>
      <c r="I375">
        <v>-14.37541</v>
      </c>
      <c r="J375">
        <f t="shared" si="32"/>
        <v>13.423163999999998</v>
      </c>
      <c r="K375">
        <f t="shared" si="33"/>
        <v>9.2162130000000015</v>
      </c>
      <c r="L375">
        <f t="shared" si="34"/>
        <v>8.1515260000000005</v>
      </c>
      <c r="M375">
        <f t="shared" si="35"/>
        <v>8.3994470000000003</v>
      </c>
      <c r="N375">
        <f t="shared" si="36"/>
        <v>8.3818439999999992</v>
      </c>
    </row>
    <row r="376" spans="1:14" x14ac:dyDescent="0.2">
      <c r="A376" s="1">
        <v>375</v>
      </c>
      <c r="B376" s="16" t="s">
        <v>391</v>
      </c>
      <c r="C376" s="5">
        <v>4</v>
      </c>
      <c r="D376" s="8">
        <v>5.6806179999999999</v>
      </c>
      <c r="E376" s="1">
        <v>-13.288933</v>
      </c>
      <c r="F376" s="1">
        <v>-14.254030999999999</v>
      </c>
      <c r="G376" s="1">
        <v>-15.428799</v>
      </c>
      <c r="H376" s="1">
        <v>-17.767097</v>
      </c>
      <c r="I376">
        <v>-17.899017000000001</v>
      </c>
      <c r="J376">
        <f t="shared" si="32"/>
        <v>15.049136999999998</v>
      </c>
      <c r="K376">
        <f t="shared" si="33"/>
        <v>10.618250000000002</v>
      </c>
      <c r="L376">
        <f t="shared" si="34"/>
        <v>5.6685140000000001</v>
      </c>
      <c r="M376">
        <f t="shared" si="35"/>
        <v>4.8964050000000015</v>
      </c>
      <c r="N376">
        <f t="shared" si="36"/>
        <v>4.858236999999999</v>
      </c>
    </row>
    <row r="377" spans="1:14" x14ac:dyDescent="0.2">
      <c r="A377" s="1">
        <v>376</v>
      </c>
      <c r="B377" s="16" t="s">
        <v>392</v>
      </c>
      <c r="C377" s="5">
        <v>4</v>
      </c>
      <c r="D377" s="8">
        <v>5.669937</v>
      </c>
      <c r="E377" s="1">
        <v>-17.622336000000001</v>
      </c>
      <c r="F377" s="1">
        <v>-16.889692</v>
      </c>
      <c r="G377" s="1">
        <v>-15.036151</v>
      </c>
      <c r="H377" s="1">
        <v>-17.208043</v>
      </c>
      <c r="I377">
        <v>-17.256056000000001</v>
      </c>
      <c r="J377">
        <f t="shared" si="32"/>
        <v>10.715733999999998</v>
      </c>
      <c r="K377">
        <f t="shared" si="33"/>
        <v>7.9825890000000008</v>
      </c>
      <c r="L377">
        <f t="shared" si="34"/>
        <v>6.0611619999999995</v>
      </c>
      <c r="M377">
        <f t="shared" si="35"/>
        <v>5.4554590000000012</v>
      </c>
      <c r="N377">
        <f t="shared" si="36"/>
        <v>5.5011979999999987</v>
      </c>
    </row>
    <row r="378" spans="1:14" x14ac:dyDescent="0.2">
      <c r="A378" s="1">
        <v>377</v>
      </c>
      <c r="B378" s="16" t="s">
        <v>393</v>
      </c>
      <c r="C378" s="5">
        <v>4</v>
      </c>
      <c r="D378" s="8">
        <v>5.5535959999999998</v>
      </c>
      <c r="E378" s="1">
        <v>-18.856114999999999</v>
      </c>
      <c r="F378" s="1">
        <v>-18.060068999999999</v>
      </c>
      <c r="G378" s="1">
        <v>-17.680357999999998</v>
      </c>
      <c r="H378" s="1">
        <v>-19.71856</v>
      </c>
      <c r="I378">
        <v>-19.809726999999999</v>
      </c>
      <c r="J378">
        <f t="shared" si="32"/>
        <v>9.4819549999999992</v>
      </c>
      <c r="K378">
        <f t="shared" si="33"/>
        <v>6.8122120000000024</v>
      </c>
      <c r="L378">
        <f t="shared" si="34"/>
        <v>3.4169550000000015</v>
      </c>
      <c r="M378">
        <f t="shared" si="35"/>
        <v>2.9449420000000011</v>
      </c>
      <c r="N378">
        <f t="shared" si="36"/>
        <v>2.9475270000000009</v>
      </c>
    </row>
    <row r="379" spans="1:14" x14ac:dyDescent="0.2">
      <c r="A379" s="1">
        <v>378</v>
      </c>
      <c r="B379" s="16" t="s">
        <v>394</v>
      </c>
      <c r="C379" s="5">
        <v>4</v>
      </c>
      <c r="D379" s="8">
        <v>5.5378939999999997</v>
      </c>
      <c r="E379" s="1">
        <v>-19.263359000000001</v>
      </c>
      <c r="F379" s="1">
        <v>-18.478811</v>
      </c>
      <c r="G379" s="1">
        <v>-15.401223999999999</v>
      </c>
      <c r="H379" s="1">
        <v>-16.249858</v>
      </c>
      <c r="I379">
        <v>-16.384602999999998</v>
      </c>
      <c r="J379">
        <f t="shared" si="32"/>
        <v>9.0747109999999971</v>
      </c>
      <c r="K379">
        <f t="shared" si="33"/>
        <v>6.3934700000000007</v>
      </c>
      <c r="L379">
        <f t="shared" si="34"/>
        <v>5.6960890000000006</v>
      </c>
      <c r="M379">
        <f t="shared" si="35"/>
        <v>6.4136440000000015</v>
      </c>
      <c r="N379">
        <f t="shared" si="36"/>
        <v>6.3726510000000012</v>
      </c>
    </row>
    <row r="380" spans="1:14" x14ac:dyDescent="0.2">
      <c r="A380" s="1">
        <v>379</v>
      </c>
      <c r="B380" s="16" t="s">
        <v>395</v>
      </c>
      <c r="C380" s="5">
        <v>4</v>
      </c>
      <c r="D380" s="8">
        <v>5.5197640000000003</v>
      </c>
      <c r="E380" s="1">
        <v>-16.068514</v>
      </c>
      <c r="F380" s="1">
        <v>-15.291622</v>
      </c>
      <c r="G380" s="1">
        <v>-15.037231999999999</v>
      </c>
      <c r="H380" s="1">
        <v>-16.759411</v>
      </c>
      <c r="I380">
        <v>-16.675523999999999</v>
      </c>
      <c r="J380">
        <f t="shared" si="32"/>
        <v>12.269555999999998</v>
      </c>
      <c r="K380">
        <f t="shared" si="33"/>
        <v>9.5806590000000007</v>
      </c>
      <c r="L380">
        <f t="shared" si="34"/>
        <v>6.0600810000000003</v>
      </c>
      <c r="M380">
        <f t="shared" si="35"/>
        <v>5.9040910000000011</v>
      </c>
      <c r="N380">
        <f t="shared" si="36"/>
        <v>6.0817300000000003</v>
      </c>
    </row>
    <row r="381" spans="1:14" x14ac:dyDescent="0.2">
      <c r="A381" s="1">
        <v>380</v>
      </c>
      <c r="B381" s="16" t="s">
        <v>396</v>
      </c>
      <c r="C381" s="5">
        <v>4</v>
      </c>
      <c r="D381" s="8">
        <v>5.262181</v>
      </c>
      <c r="E381" s="1">
        <v>-18.009034</v>
      </c>
      <c r="F381" s="1">
        <v>-17.750786000000002</v>
      </c>
      <c r="G381" s="1">
        <v>-17.342763999999999</v>
      </c>
      <c r="H381" s="1">
        <v>-19.367813000000002</v>
      </c>
      <c r="I381">
        <v>-19.409835000000001</v>
      </c>
      <c r="J381">
        <f t="shared" si="32"/>
        <v>10.329035999999999</v>
      </c>
      <c r="K381">
        <f t="shared" si="33"/>
        <v>7.1214949999999995</v>
      </c>
      <c r="L381">
        <f t="shared" si="34"/>
        <v>3.7545490000000008</v>
      </c>
      <c r="M381">
        <f t="shared" si="35"/>
        <v>3.2956889999999994</v>
      </c>
      <c r="N381">
        <f t="shared" si="36"/>
        <v>3.3474189999999986</v>
      </c>
    </row>
    <row r="382" spans="1:14" x14ac:dyDescent="0.2">
      <c r="A382" s="1">
        <v>381</v>
      </c>
      <c r="B382" s="16" t="s">
        <v>397</v>
      </c>
      <c r="C382" s="5">
        <v>4</v>
      </c>
      <c r="D382" s="8">
        <v>5.0915660000000003</v>
      </c>
      <c r="E382" s="1">
        <v>-14.638738999999999</v>
      </c>
      <c r="F382" s="1">
        <v>-14.648676999999999</v>
      </c>
      <c r="G382" s="1">
        <v>-14.327298000000001</v>
      </c>
      <c r="H382" s="1">
        <v>-16.191738999999998</v>
      </c>
      <c r="I382">
        <v>-16.105077000000001</v>
      </c>
      <c r="J382">
        <f t="shared" si="32"/>
        <v>13.699330999999999</v>
      </c>
      <c r="K382">
        <f t="shared" si="33"/>
        <v>10.223604000000002</v>
      </c>
      <c r="L382">
        <f t="shared" si="34"/>
        <v>6.770014999999999</v>
      </c>
      <c r="M382">
        <f t="shared" si="35"/>
        <v>6.4717630000000028</v>
      </c>
      <c r="N382">
        <f t="shared" si="36"/>
        <v>6.6521769999999982</v>
      </c>
    </row>
    <row r="383" spans="1:14" x14ac:dyDescent="0.2">
      <c r="A383" s="1">
        <v>382</v>
      </c>
      <c r="B383" s="16" t="s">
        <v>398</v>
      </c>
      <c r="C383" s="5">
        <v>4</v>
      </c>
      <c r="D383" s="8">
        <v>5.0829399999999998</v>
      </c>
      <c r="E383" s="1">
        <v>-18.505168999999999</v>
      </c>
      <c r="F383" s="1">
        <v>-17.828208</v>
      </c>
      <c r="G383" s="1">
        <v>-14.278677999999999</v>
      </c>
      <c r="H383" s="1">
        <v>-15.642452</v>
      </c>
      <c r="I383">
        <v>-15.506930000000001</v>
      </c>
      <c r="J383">
        <f t="shared" si="32"/>
        <v>9.8329009999999997</v>
      </c>
      <c r="K383">
        <f t="shared" si="33"/>
        <v>7.0440730000000009</v>
      </c>
      <c r="L383">
        <f t="shared" si="34"/>
        <v>6.8186350000000004</v>
      </c>
      <c r="M383">
        <f t="shared" si="35"/>
        <v>7.0210500000000007</v>
      </c>
      <c r="N383">
        <f t="shared" si="36"/>
        <v>7.2503239999999991</v>
      </c>
    </row>
    <row r="384" spans="1:14" x14ac:dyDescent="0.2">
      <c r="A384" s="1">
        <v>383</v>
      </c>
      <c r="B384" s="16" t="s">
        <v>399</v>
      </c>
      <c r="C384" s="5">
        <v>4</v>
      </c>
      <c r="D384" s="8">
        <v>5.0769869999999999</v>
      </c>
      <c r="E384" s="1">
        <v>-12.956557999999999</v>
      </c>
      <c r="F384" s="1">
        <v>-12.434227999999999</v>
      </c>
      <c r="G384" s="1">
        <v>-10.88639</v>
      </c>
      <c r="H384" s="1">
        <v>-12.044953</v>
      </c>
      <c r="I384">
        <v>-12.03778</v>
      </c>
      <c r="J384">
        <f t="shared" si="32"/>
        <v>15.381511999999999</v>
      </c>
      <c r="K384">
        <f t="shared" si="33"/>
        <v>12.438053000000002</v>
      </c>
      <c r="L384">
        <f t="shared" si="34"/>
        <v>10.210922999999999</v>
      </c>
      <c r="M384">
        <f t="shared" si="35"/>
        <v>10.618549000000002</v>
      </c>
      <c r="N384">
        <f t="shared" si="36"/>
        <v>10.719474</v>
      </c>
    </row>
    <row r="385" spans="1:14" x14ac:dyDescent="0.2">
      <c r="A385" s="1">
        <v>384</v>
      </c>
      <c r="B385" s="16" t="s">
        <v>400</v>
      </c>
      <c r="C385" s="5">
        <v>4</v>
      </c>
      <c r="D385" s="8">
        <v>5.0518999999999998</v>
      </c>
      <c r="E385" s="1">
        <v>-16.23884</v>
      </c>
      <c r="F385" s="1">
        <v>-13.292617999999999</v>
      </c>
      <c r="G385" s="1">
        <v>-12.011145000000001</v>
      </c>
      <c r="H385" s="1">
        <v>-13.403978</v>
      </c>
      <c r="I385">
        <v>-13.650936</v>
      </c>
      <c r="J385">
        <f t="shared" si="32"/>
        <v>12.099229999999999</v>
      </c>
      <c r="K385">
        <f t="shared" si="33"/>
        <v>11.579663000000002</v>
      </c>
      <c r="L385">
        <f t="shared" si="34"/>
        <v>9.0861679999999989</v>
      </c>
      <c r="M385">
        <f t="shared" si="35"/>
        <v>9.2595240000000008</v>
      </c>
      <c r="N385">
        <f t="shared" si="36"/>
        <v>9.1063179999999999</v>
      </c>
    </row>
    <row r="386" spans="1:14" x14ac:dyDescent="0.2">
      <c r="A386" s="1">
        <v>385</v>
      </c>
      <c r="B386" s="16" t="s">
        <v>401</v>
      </c>
      <c r="C386" s="5">
        <v>4</v>
      </c>
      <c r="D386" s="8">
        <v>5.0434130000000001</v>
      </c>
      <c r="E386" s="1">
        <v>-20.377690000000001</v>
      </c>
      <c r="F386" s="1">
        <v>-19.144909999999999</v>
      </c>
      <c r="G386" s="1">
        <v>-14.927545</v>
      </c>
      <c r="H386" s="1">
        <v>-16.228726000000002</v>
      </c>
      <c r="I386">
        <v>-16.080013000000001</v>
      </c>
      <c r="J386">
        <f t="shared" si="32"/>
        <v>7.9603799999999971</v>
      </c>
      <c r="K386">
        <f t="shared" si="33"/>
        <v>5.7273710000000015</v>
      </c>
      <c r="L386">
        <f t="shared" si="34"/>
        <v>6.1697679999999995</v>
      </c>
      <c r="M386">
        <f t="shared" si="35"/>
        <v>6.4347759999999994</v>
      </c>
      <c r="N386">
        <f t="shared" si="36"/>
        <v>6.6772409999999986</v>
      </c>
    </row>
    <row r="387" spans="1:14" x14ac:dyDescent="0.2">
      <c r="A387" s="1">
        <v>386</v>
      </c>
      <c r="B387" s="16" t="s">
        <v>402</v>
      </c>
      <c r="C387" s="5">
        <v>4</v>
      </c>
      <c r="D387" s="8">
        <v>5.0379589999999999</v>
      </c>
      <c r="E387" s="1">
        <v>-19.787230999999998</v>
      </c>
      <c r="F387" s="1">
        <v>-18.595423</v>
      </c>
      <c r="G387" s="1">
        <v>-15.679266</v>
      </c>
      <c r="H387" s="1">
        <v>-17.452451</v>
      </c>
      <c r="I387">
        <v>-17.392903</v>
      </c>
      <c r="J387">
        <f t="shared" ref="J387:J424" si="37">E387-E$2</f>
        <v>8.5508389999999999</v>
      </c>
      <c r="K387">
        <f t="shared" ref="K387:K424" si="38">F387-F$2</f>
        <v>6.2768580000000007</v>
      </c>
      <c r="L387">
        <f t="shared" ref="L387:L450" si="39">G387-G$2</f>
        <v>5.4180469999999996</v>
      </c>
      <c r="M387">
        <f t="shared" ref="M387:M450" si="40">H387-H$2</f>
        <v>5.2110510000000012</v>
      </c>
      <c r="N387">
        <f t="shared" ref="N387:N450" si="41">I387-I$2</f>
        <v>5.3643509999999992</v>
      </c>
    </row>
    <row r="388" spans="1:14" x14ac:dyDescent="0.2">
      <c r="A388" s="1">
        <v>387</v>
      </c>
      <c r="B388" s="16" t="s">
        <v>403</v>
      </c>
      <c r="C388" s="5">
        <v>4</v>
      </c>
      <c r="D388" s="8">
        <v>4.9886330000000001</v>
      </c>
      <c r="E388" s="1">
        <v>-14.348136</v>
      </c>
      <c r="F388" s="1">
        <v>-16.110847</v>
      </c>
      <c r="G388" s="1">
        <v>-14.346508</v>
      </c>
      <c r="H388" s="1">
        <v>-16.015139999999999</v>
      </c>
      <c r="I388">
        <v>-16.079991</v>
      </c>
      <c r="J388">
        <f t="shared" si="37"/>
        <v>13.989933999999998</v>
      </c>
      <c r="K388">
        <f t="shared" si="38"/>
        <v>8.7614340000000013</v>
      </c>
      <c r="L388">
        <f t="shared" si="39"/>
        <v>6.7508049999999997</v>
      </c>
      <c r="M388">
        <f t="shared" si="40"/>
        <v>6.6483620000000023</v>
      </c>
      <c r="N388">
        <f t="shared" si="41"/>
        <v>6.6772629999999999</v>
      </c>
    </row>
    <row r="389" spans="1:14" x14ac:dyDescent="0.2">
      <c r="A389" s="1">
        <v>388</v>
      </c>
      <c r="B389" s="16" t="s">
        <v>404</v>
      </c>
      <c r="C389" s="5">
        <v>4</v>
      </c>
      <c r="D389" s="8">
        <v>4.9321640000000002</v>
      </c>
      <c r="E389" s="1">
        <v>-15.938155999999999</v>
      </c>
      <c r="F389" s="1">
        <v>-16.607281</v>
      </c>
      <c r="G389" s="1">
        <v>-15.520989</v>
      </c>
      <c r="H389" s="1">
        <v>-16.730008000000002</v>
      </c>
      <c r="I389">
        <v>-16.859210999999998</v>
      </c>
      <c r="J389">
        <f t="shared" si="37"/>
        <v>12.399913999999999</v>
      </c>
      <c r="K389">
        <f t="shared" si="38"/>
        <v>8.2650000000000006</v>
      </c>
      <c r="L389">
        <f t="shared" si="39"/>
        <v>5.5763239999999996</v>
      </c>
      <c r="M389">
        <f t="shared" si="40"/>
        <v>5.9334939999999996</v>
      </c>
      <c r="N389">
        <f t="shared" si="41"/>
        <v>5.8980430000000013</v>
      </c>
    </row>
    <row r="390" spans="1:14" x14ac:dyDescent="0.2">
      <c r="A390" s="1">
        <v>389</v>
      </c>
      <c r="B390" s="16" t="s">
        <v>405</v>
      </c>
      <c r="C390" s="5">
        <v>4</v>
      </c>
      <c r="D390" s="8">
        <v>4.9208660000000002</v>
      </c>
      <c r="E390" s="1">
        <v>-14.275296000000001</v>
      </c>
      <c r="F390" s="1">
        <v>-11.438669000000001</v>
      </c>
      <c r="G390" s="1">
        <v>-8.2277670000000001</v>
      </c>
      <c r="H390" s="1">
        <v>-8.7450320000000001</v>
      </c>
      <c r="I390">
        <v>-8.7193480000000001</v>
      </c>
      <c r="J390">
        <f t="shared" si="37"/>
        <v>14.062773999999997</v>
      </c>
      <c r="K390">
        <f t="shared" si="38"/>
        <v>13.433612</v>
      </c>
      <c r="L390">
        <f t="shared" si="39"/>
        <v>12.869546</v>
      </c>
      <c r="M390">
        <f t="shared" si="40"/>
        <v>13.918470000000001</v>
      </c>
      <c r="N390">
        <f t="shared" si="41"/>
        <v>14.037906</v>
      </c>
    </row>
    <row r="391" spans="1:14" x14ac:dyDescent="0.2">
      <c r="A391" s="1">
        <v>390</v>
      </c>
      <c r="B391" s="16" t="s">
        <v>406</v>
      </c>
      <c r="C391" s="5">
        <v>4</v>
      </c>
      <c r="D391" s="8">
        <v>4.8193400000000004</v>
      </c>
      <c r="E391" s="1">
        <v>-21.456043000000001</v>
      </c>
      <c r="F391" s="1">
        <v>-19.494191000000001</v>
      </c>
      <c r="G391" s="1">
        <v>-17.892247000000001</v>
      </c>
      <c r="H391" s="1">
        <v>-19.812033</v>
      </c>
      <c r="I391">
        <v>-19.890533999999999</v>
      </c>
      <c r="J391">
        <f t="shared" si="37"/>
        <v>6.8820269999999972</v>
      </c>
      <c r="K391">
        <f t="shared" si="38"/>
        <v>5.3780900000000003</v>
      </c>
      <c r="L391">
        <f t="shared" si="39"/>
        <v>3.2050659999999986</v>
      </c>
      <c r="M391">
        <f t="shared" si="40"/>
        <v>2.8514690000000016</v>
      </c>
      <c r="N391">
        <f t="shared" si="41"/>
        <v>2.8667200000000008</v>
      </c>
    </row>
    <row r="392" spans="1:14" x14ac:dyDescent="0.2">
      <c r="A392" s="1">
        <v>391</v>
      </c>
      <c r="B392" s="16" t="s">
        <v>407</v>
      </c>
      <c r="C392" s="5">
        <v>4</v>
      </c>
      <c r="D392" s="8">
        <v>4.7873859999999997</v>
      </c>
      <c r="E392" s="1">
        <v>-21.840999</v>
      </c>
      <c r="F392" s="1">
        <v>-19.806114000000001</v>
      </c>
      <c r="G392" s="1">
        <v>-16.681419000000002</v>
      </c>
      <c r="H392" s="1">
        <v>-17.992685000000002</v>
      </c>
      <c r="I392">
        <v>-18.135511999999999</v>
      </c>
      <c r="J392">
        <f t="shared" si="37"/>
        <v>6.4970709999999983</v>
      </c>
      <c r="K392">
        <f t="shared" si="38"/>
        <v>5.0661670000000001</v>
      </c>
      <c r="L392">
        <f t="shared" si="39"/>
        <v>4.415893999999998</v>
      </c>
      <c r="M392">
        <f t="shared" si="40"/>
        <v>4.6708169999999996</v>
      </c>
      <c r="N392">
        <f t="shared" si="41"/>
        <v>4.6217420000000011</v>
      </c>
    </row>
    <row r="393" spans="1:14" x14ac:dyDescent="0.2">
      <c r="A393" s="1">
        <v>392</v>
      </c>
      <c r="B393" s="16" t="s">
        <v>408</v>
      </c>
      <c r="C393" s="5">
        <v>4</v>
      </c>
      <c r="D393" s="8">
        <v>4.7370429999999999</v>
      </c>
      <c r="E393" s="1">
        <v>-20.186785</v>
      </c>
      <c r="F393" s="1">
        <v>-17.326968999999998</v>
      </c>
      <c r="G393" s="1">
        <v>-13.125285</v>
      </c>
      <c r="H393" s="1">
        <v>-14.076129999999999</v>
      </c>
      <c r="I393">
        <v>-14.028326</v>
      </c>
      <c r="J393">
        <f t="shared" si="37"/>
        <v>8.1512849999999979</v>
      </c>
      <c r="K393">
        <f t="shared" si="38"/>
        <v>7.5453120000000027</v>
      </c>
      <c r="L393">
        <f t="shared" si="39"/>
        <v>7.9720279999999999</v>
      </c>
      <c r="M393">
        <f t="shared" si="40"/>
        <v>8.587372000000002</v>
      </c>
      <c r="N393">
        <f t="shared" si="41"/>
        <v>8.7289279999999998</v>
      </c>
    </row>
    <row r="394" spans="1:14" x14ac:dyDescent="0.2">
      <c r="A394" s="1">
        <v>393</v>
      </c>
      <c r="B394" s="16" t="s">
        <v>409</v>
      </c>
      <c r="C394" s="5">
        <v>4</v>
      </c>
      <c r="D394" s="8">
        <v>4.6968779999999999</v>
      </c>
      <c r="E394" s="1">
        <v>-19.567371999999999</v>
      </c>
      <c r="F394" s="1">
        <v>-19.090869000000001</v>
      </c>
      <c r="G394" s="1">
        <v>-18.467772</v>
      </c>
      <c r="H394" s="1">
        <v>-20.591867000000001</v>
      </c>
      <c r="I394">
        <v>-20.58615</v>
      </c>
      <c r="J394">
        <f t="shared" si="37"/>
        <v>8.7706979999999994</v>
      </c>
      <c r="K394">
        <f t="shared" si="38"/>
        <v>5.7814119999999996</v>
      </c>
      <c r="L394">
        <f t="shared" si="39"/>
        <v>2.6295409999999997</v>
      </c>
      <c r="M394">
        <f t="shared" si="40"/>
        <v>2.0716350000000006</v>
      </c>
      <c r="N394">
        <f t="shared" si="41"/>
        <v>2.1711039999999997</v>
      </c>
    </row>
    <row r="395" spans="1:14" x14ac:dyDescent="0.2">
      <c r="A395" s="1">
        <v>394</v>
      </c>
      <c r="B395" s="16" t="s">
        <v>410</v>
      </c>
      <c r="C395" s="5">
        <v>4</v>
      </c>
      <c r="D395" s="8">
        <v>4.6528159999999996</v>
      </c>
      <c r="E395" s="1">
        <v>-14.776331000000001</v>
      </c>
      <c r="F395" s="1">
        <v>-14.986279</v>
      </c>
      <c r="G395" s="1">
        <v>-14.523211</v>
      </c>
      <c r="H395" s="1">
        <v>-16.976956000000001</v>
      </c>
      <c r="I395">
        <v>-17.188241999999999</v>
      </c>
      <c r="J395">
        <f t="shared" si="37"/>
        <v>13.561738999999998</v>
      </c>
      <c r="K395">
        <f t="shared" si="38"/>
        <v>9.8860020000000013</v>
      </c>
      <c r="L395">
        <f t="shared" si="39"/>
        <v>6.5741019999999999</v>
      </c>
      <c r="M395">
        <f t="shared" si="40"/>
        <v>5.6865459999999999</v>
      </c>
      <c r="N395">
        <f t="shared" si="41"/>
        <v>5.5690120000000007</v>
      </c>
    </row>
    <row r="396" spans="1:14" x14ac:dyDescent="0.2">
      <c r="A396" s="1">
        <v>395</v>
      </c>
      <c r="B396" s="16" t="s">
        <v>411</v>
      </c>
      <c r="C396" s="5">
        <v>4</v>
      </c>
      <c r="D396" s="8">
        <v>4.6255879999999996</v>
      </c>
      <c r="E396" s="1">
        <v>-14.519594</v>
      </c>
      <c r="F396" s="1">
        <v>-14.677012</v>
      </c>
      <c r="G396" s="1">
        <v>-15.568295000000001</v>
      </c>
      <c r="H396" s="1">
        <v>-17.711607999999998</v>
      </c>
      <c r="I396">
        <v>-17.85183</v>
      </c>
      <c r="J396">
        <f t="shared" si="37"/>
        <v>13.818475999999999</v>
      </c>
      <c r="K396">
        <f t="shared" si="38"/>
        <v>10.195269000000001</v>
      </c>
      <c r="L396">
        <f t="shared" si="39"/>
        <v>5.5290179999999989</v>
      </c>
      <c r="M396">
        <f t="shared" si="40"/>
        <v>4.9518940000000029</v>
      </c>
      <c r="N396">
        <f t="shared" si="41"/>
        <v>4.905424</v>
      </c>
    </row>
    <row r="397" spans="1:14" x14ac:dyDescent="0.2">
      <c r="A397" s="1">
        <v>396</v>
      </c>
      <c r="B397" s="16" t="s">
        <v>412</v>
      </c>
      <c r="C397" s="5">
        <v>4</v>
      </c>
      <c r="D397" s="8">
        <v>4.4418639999999998</v>
      </c>
      <c r="E397" s="1">
        <v>-20.421392999999998</v>
      </c>
      <c r="F397" s="1">
        <v>-17.641421000000001</v>
      </c>
      <c r="G397" s="1">
        <v>-13.111745000000001</v>
      </c>
      <c r="H397" s="1">
        <v>-14.136547</v>
      </c>
      <c r="I397">
        <v>-14.073563999999999</v>
      </c>
      <c r="J397">
        <f t="shared" si="37"/>
        <v>7.916677</v>
      </c>
      <c r="K397">
        <f t="shared" si="38"/>
        <v>7.2308599999999998</v>
      </c>
      <c r="L397">
        <f t="shared" si="39"/>
        <v>7.9855679999999989</v>
      </c>
      <c r="M397">
        <f t="shared" si="40"/>
        <v>8.526955000000001</v>
      </c>
      <c r="N397">
        <f t="shared" si="41"/>
        <v>8.6836900000000004</v>
      </c>
    </row>
    <row r="398" spans="1:14" x14ac:dyDescent="0.2">
      <c r="A398" s="1">
        <v>397</v>
      </c>
      <c r="B398" s="16" t="s">
        <v>413</v>
      </c>
      <c r="C398" s="5">
        <v>4</v>
      </c>
      <c r="D398" s="8">
        <v>4.4208249999999998</v>
      </c>
      <c r="E398" s="1">
        <v>-21.456043000000001</v>
      </c>
      <c r="F398" s="1">
        <v>-19.494191000000001</v>
      </c>
      <c r="G398" s="1">
        <v>-17.892247000000001</v>
      </c>
      <c r="H398" s="1">
        <v>-19.812033</v>
      </c>
      <c r="I398">
        <v>-19.890533999999999</v>
      </c>
      <c r="J398">
        <f t="shared" si="37"/>
        <v>6.8820269999999972</v>
      </c>
      <c r="K398">
        <f t="shared" si="38"/>
        <v>5.3780900000000003</v>
      </c>
      <c r="L398">
        <f t="shared" si="39"/>
        <v>3.2050659999999986</v>
      </c>
      <c r="M398">
        <f t="shared" si="40"/>
        <v>2.8514690000000016</v>
      </c>
      <c r="N398">
        <f t="shared" si="41"/>
        <v>2.8667200000000008</v>
      </c>
    </row>
    <row r="399" spans="1:14" x14ac:dyDescent="0.2">
      <c r="A399" s="1">
        <v>398</v>
      </c>
      <c r="B399" s="16" t="s">
        <v>414</v>
      </c>
      <c r="C399" s="5">
        <v>4</v>
      </c>
      <c r="D399" s="8">
        <v>4.362304</v>
      </c>
      <c r="E399" s="1">
        <v>-21.840999</v>
      </c>
      <c r="F399" s="1">
        <v>-19.806114000000001</v>
      </c>
      <c r="G399" s="1">
        <v>-16.681419000000002</v>
      </c>
      <c r="H399" s="1">
        <v>-17.992685000000002</v>
      </c>
      <c r="I399">
        <v>-18.135511999999999</v>
      </c>
      <c r="J399">
        <f t="shared" si="37"/>
        <v>6.4970709999999983</v>
      </c>
      <c r="K399">
        <f t="shared" si="38"/>
        <v>5.0661670000000001</v>
      </c>
      <c r="L399">
        <f t="shared" si="39"/>
        <v>4.415893999999998</v>
      </c>
      <c r="M399">
        <f t="shared" si="40"/>
        <v>4.6708169999999996</v>
      </c>
      <c r="N399">
        <f t="shared" si="41"/>
        <v>4.6217420000000011</v>
      </c>
    </row>
    <row r="400" spans="1:14" x14ac:dyDescent="0.2">
      <c r="A400" s="1">
        <v>399</v>
      </c>
      <c r="B400" s="16" t="s">
        <v>415</v>
      </c>
      <c r="C400" s="5">
        <v>4</v>
      </c>
      <c r="D400" s="8">
        <v>4.2538349999999996</v>
      </c>
      <c r="E400" s="1">
        <v>-20.624524999999998</v>
      </c>
      <c r="F400" s="1">
        <v>-19.342072000000002</v>
      </c>
      <c r="G400" s="1">
        <v>-17.994793999999999</v>
      </c>
      <c r="H400" s="1">
        <v>-20.050595999999999</v>
      </c>
      <c r="I400">
        <v>-20.117473</v>
      </c>
      <c r="J400">
        <f t="shared" si="37"/>
        <v>7.7135449999999999</v>
      </c>
      <c r="K400">
        <f t="shared" si="38"/>
        <v>5.5302089999999993</v>
      </c>
      <c r="L400">
        <f t="shared" si="39"/>
        <v>3.1025190000000009</v>
      </c>
      <c r="M400">
        <f t="shared" si="40"/>
        <v>2.6129060000000024</v>
      </c>
      <c r="N400">
        <f t="shared" si="41"/>
        <v>2.6397809999999993</v>
      </c>
    </row>
    <row r="401" spans="1:14" x14ac:dyDescent="0.2">
      <c r="A401" s="1">
        <v>400</v>
      </c>
      <c r="B401" s="16" t="s">
        <v>416</v>
      </c>
      <c r="C401" s="5">
        <v>4</v>
      </c>
      <c r="D401" s="8">
        <v>4.2444189999999997</v>
      </c>
      <c r="E401" s="1">
        <v>-19.166374000000001</v>
      </c>
      <c r="F401" s="1">
        <v>-17.314682000000001</v>
      </c>
      <c r="G401" s="1">
        <v>-13.306709</v>
      </c>
      <c r="H401" s="1">
        <v>-14.843579</v>
      </c>
      <c r="I401">
        <v>-14.855743</v>
      </c>
      <c r="J401">
        <f t="shared" si="37"/>
        <v>9.1716959999999972</v>
      </c>
      <c r="K401">
        <f t="shared" si="38"/>
        <v>7.5575989999999997</v>
      </c>
      <c r="L401">
        <f t="shared" si="39"/>
        <v>7.7906040000000001</v>
      </c>
      <c r="M401">
        <f t="shared" si="40"/>
        <v>7.8199230000000011</v>
      </c>
      <c r="N401">
        <f t="shared" si="41"/>
        <v>7.9015109999999993</v>
      </c>
    </row>
    <row r="402" spans="1:14" x14ac:dyDescent="0.2">
      <c r="A402" s="1">
        <v>401</v>
      </c>
      <c r="B402" s="16" t="s">
        <v>417</v>
      </c>
      <c r="C402" s="5">
        <v>4</v>
      </c>
      <c r="D402" s="8">
        <v>4.1939830000000002</v>
      </c>
      <c r="E402" s="1">
        <v>-19.600704</v>
      </c>
      <c r="F402" s="1">
        <v>-17.850635</v>
      </c>
      <c r="G402" s="1">
        <v>-15.084676999999999</v>
      </c>
      <c r="H402" s="1">
        <v>-16.318218000000002</v>
      </c>
      <c r="I402">
        <v>-16.459638999999999</v>
      </c>
      <c r="J402">
        <f t="shared" si="37"/>
        <v>8.737365999999998</v>
      </c>
      <c r="K402">
        <f t="shared" si="38"/>
        <v>7.0216460000000005</v>
      </c>
      <c r="L402">
        <f t="shared" si="39"/>
        <v>6.0126360000000005</v>
      </c>
      <c r="M402">
        <f t="shared" si="40"/>
        <v>6.3452839999999995</v>
      </c>
      <c r="N402">
        <f t="shared" si="41"/>
        <v>6.2976150000000004</v>
      </c>
    </row>
    <row r="403" spans="1:14" x14ac:dyDescent="0.2">
      <c r="A403" s="1">
        <v>402</v>
      </c>
      <c r="B403" s="16" t="s">
        <v>418</v>
      </c>
      <c r="C403" s="5">
        <v>4</v>
      </c>
      <c r="D403" s="8">
        <v>4.1473550000000001</v>
      </c>
      <c r="E403" s="1">
        <v>-22.083839999999999</v>
      </c>
      <c r="F403" s="1">
        <v>-19.016202</v>
      </c>
      <c r="G403" s="1">
        <v>-14.571183</v>
      </c>
      <c r="H403" s="1">
        <v>-15.614838000000001</v>
      </c>
      <c r="I403">
        <v>-15.515216000000001</v>
      </c>
      <c r="J403">
        <f t="shared" si="37"/>
        <v>6.2542299999999997</v>
      </c>
      <c r="K403">
        <f t="shared" si="38"/>
        <v>5.8560790000000011</v>
      </c>
      <c r="L403">
        <f t="shared" si="39"/>
        <v>6.5261300000000002</v>
      </c>
      <c r="M403">
        <f t="shared" si="40"/>
        <v>7.0486640000000005</v>
      </c>
      <c r="N403">
        <f t="shared" si="41"/>
        <v>7.2420379999999991</v>
      </c>
    </row>
    <row r="404" spans="1:14" x14ac:dyDescent="0.2">
      <c r="A404" s="1">
        <v>403</v>
      </c>
      <c r="B404" s="16" t="s">
        <v>419</v>
      </c>
      <c r="C404" s="5">
        <v>4</v>
      </c>
      <c r="D404" s="8">
        <v>4.0862530000000001</v>
      </c>
      <c r="E404" s="1">
        <v>-17.873343999999999</v>
      </c>
      <c r="F404" s="1">
        <v>-16.649158</v>
      </c>
      <c r="G404" s="1">
        <v>-14.347384</v>
      </c>
      <c r="H404" s="1">
        <v>-15.259285999999999</v>
      </c>
      <c r="I404">
        <v>-15.479469</v>
      </c>
      <c r="J404">
        <f t="shared" si="37"/>
        <v>10.464725999999999</v>
      </c>
      <c r="K404">
        <f t="shared" si="38"/>
        <v>8.2231230000000011</v>
      </c>
      <c r="L404">
        <f t="shared" si="39"/>
        <v>6.7499289999999998</v>
      </c>
      <c r="M404">
        <f t="shared" si="40"/>
        <v>7.4042160000000017</v>
      </c>
      <c r="N404">
        <f t="shared" si="41"/>
        <v>7.2777849999999997</v>
      </c>
    </row>
    <row r="405" spans="1:14" x14ac:dyDescent="0.2">
      <c r="A405" s="1">
        <v>404</v>
      </c>
      <c r="B405" s="16" t="s">
        <v>420</v>
      </c>
      <c r="C405" s="5">
        <v>4</v>
      </c>
      <c r="D405" s="8">
        <v>4.0712770000000003</v>
      </c>
      <c r="E405" s="1">
        <v>-19.546759999999999</v>
      </c>
      <c r="F405" s="1">
        <v>-17.922246999999999</v>
      </c>
      <c r="G405" s="1">
        <v>-13.365558999999999</v>
      </c>
      <c r="H405" s="1">
        <v>-14.511872</v>
      </c>
      <c r="I405">
        <v>-14.411421000000001</v>
      </c>
      <c r="J405">
        <f t="shared" si="37"/>
        <v>8.7913099999999993</v>
      </c>
      <c r="K405">
        <f t="shared" si="38"/>
        <v>6.9500340000000023</v>
      </c>
      <c r="L405">
        <f t="shared" si="39"/>
        <v>7.7317540000000005</v>
      </c>
      <c r="M405">
        <f t="shared" si="40"/>
        <v>8.1516300000000008</v>
      </c>
      <c r="N405">
        <f t="shared" si="41"/>
        <v>8.3458329999999989</v>
      </c>
    </row>
    <row r="406" spans="1:14" x14ac:dyDescent="0.2">
      <c r="A406" s="1">
        <v>405</v>
      </c>
      <c r="B406" s="16" t="s">
        <v>421</v>
      </c>
      <c r="C406" s="5">
        <v>4</v>
      </c>
      <c r="D406" s="8">
        <v>4.0702629999999997</v>
      </c>
      <c r="E406" s="1">
        <v>-11.515874</v>
      </c>
      <c r="F406" s="1">
        <v>-12.229858999999999</v>
      </c>
      <c r="G406" s="1">
        <v>-12.482749999999999</v>
      </c>
      <c r="H406" s="1">
        <v>-13.947184999999999</v>
      </c>
      <c r="I406">
        <v>-14.037134</v>
      </c>
      <c r="J406">
        <f t="shared" si="37"/>
        <v>16.822195999999998</v>
      </c>
      <c r="K406">
        <f t="shared" si="38"/>
        <v>12.642422000000002</v>
      </c>
      <c r="L406">
        <f t="shared" si="39"/>
        <v>8.6145630000000004</v>
      </c>
      <c r="M406">
        <f t="shared" si="40"/>
        <v>8.7163170000000019</v>
      </c>
      <c r="N406">
        <f t="shared" si="41"/>
        <v>8.7201199999999996</v>
      </c>
    </row>
    <row r="407" spans="1:14" x14ac:dyDescent="0.2">
      <c r="A407" s="1">
        <v>406</v>
      </c>
      <c r="B407" s="16" t="s">
        <v>422</v>
      </c>
      <c r="C407" s="5">
        <v>4</v>
      </c>
      <c r="D407" s="8">
        <v>3.9826869999999999</v>
      </c>
      <c r="E407" s="1">
        <v>-20.844384000000002</v>
      </c>
      <c r="F407" s="1">
        <v>-18.846627000000002</v>
      </c>
      <c r="G407" s="1">
        <v>-15.206289</v>
      </c>
      <c r="H407" s="1">
        <v>-16.911180000000002</v>
      </c>
      <c r="I407">
        <v>-16.924226000000001</v>
      </c>
      <c r="J407">
        <f t="shared" si="37"/>
        <v>7.4936859999999967</v>
      </c>
      <c r="K407">
        <f t="shared" si="38"/>
        <v>6.0256539999999994</v>
      </c>
      <c r="L407">
        <f t="shared" si="39"/>
        <v>5.8910239999999998</v>
      </c>
      <c r="M407">
        <f t="shared" si="40"/>
        <v>5.7523219999999995</v>
      </c>
      <c r="N407">
        <f t="shared" si="41"/>
        <v>5.8330279999999988</v>
      </c>
    </row>
    <row r="408" spans="1:14" x14ac:dyDescent="0.2">
      <c r="A408" s="1">
        <v>407</v>
      </c>
      <c r="B408" s="16" t="s">
        <v>423</v>
      </c>
      <c r="C408" s="5">
        <v>4</v>
      </c>
      <c r="D408" s="8">
        <v>3.8282090000000002</v>
      </c>
      <c r="E408" s="1">
        <v>-19.793596000000001</v>
      </c>
      <c r="F408" s="1">
        <v>-18.119409999999998</v>
      </c>
      <c r="G408" s="1">
        <v>-16.432808000000001</v>
      </c>
      <c r="H408" s="1">
        <v>-18.333742000000001</v>
      </c>
      <c r="I408">
        <v>-18.448882000000001</v>
      </c>
      <c r="J408">
        <f t="shared" si="37"/>
        <v>8.5444739999999975</v>
      </c>
      <c r="K408">
        <f t="shared" si="38"/>
        <v>6.7528710000000025</v>
      </c>
      <c r="L408">
        <f t="shared" si="39"/>
        <v>4.6645049999999983</v>
      </c>
      <c r="M408">
        <f t="shared" si="40"/>
        <v>4.3297600000000003</v>
      </c>
      <c r="N408">
        <f t="shared" si="41"/>
        <v>4.3083719999999985</v>
      </c>
    </row>
    <row r="409" spans="1:14" x14ac:dyDescent="0.2">
      <c r="A409" s="1">
        <v>408</v>
      </c>
      <c r="B409" s="16" t="s">
        <v>424</v>
      </c>
      <c r="C409" s="5">
        <v>4</v>
      </c>
      <c r="D409" s="8">
        <v>3.7887650000000002</v>
      </c>
      <c r="E409" s="1">
        <v>-22.056287000000001</v>
      </c>
      <c r="F409" s="1">
        <v>-19.606311000000002</v>
      </c>
      <c r="G409" s="1">
        <v>-15.162592</v>
      </c>
      <c r="H409" s="1">
        <v>-16.340909</v>
      </c>
      <c r="I409">
        <v>-16.252966000000001</v>
      </c>
      <c r="J409">
        <f t="shared" si="37"/>
        <v>6.2817829999999972</v>
      </c>
      <c r="K409">
        <f t="shared" si="38"/>
        <v>5.2659699999999994</v>
      </c>
      <c r="L409">
        <f t="shared" si="39"/>
        <v>5.9347209999999997</v>
      </c>
      <c r="M409">
        <f t="shared" si="40"/>
        <v>6.3225930000000012</v>
      </c>
      <c r="N409">
        <f t="shared" si="41"/>
        <v>6.504287999999999</v>
      </c>
    </row>
    <row r="410" spans="1:14" x14ac:dyDescent="0.2">
      <c r="A410" s="1">
        <v>409</v>
      </c>
      <c r="B410" s="16" t="s">
        <v>425</v>
      </c>
      <c r="C410" s="5">
        <v>4</v>
      </c>
      <c r="D410" s="8">
        <v>3.6198000000000001</v>
      </c>
      <c r="E410" s="1">
        <v>-20.393840000000001</v>
      </c>
      <c r="F410" s="1">
        <v>-18.231529999999999</v>
      </c>
      <c r="G410" s="1">
        <v>-13.703153</v>
      </c>
      <c r="H410" s="1">
        <v>-14.862617999999999</v>
      </c>
      <c r="I410">
        <v>-14.811313999999999</v>
      </c>
      <c r="J410">
        <f t="shared" si="37"/>
        <v>7.9442299999999975</v>
      </c>
      <c r="K410">
        <f t="shared" si="38"/>
        <v>6.6407510000000016</v>
      </c>
      <c r="L410">
        <f t="shared" si="39"/>
        <v>7.3941599999999994</v>
      </c>
      <c r="M410">
        <f t="shared" si="40"/>
        <v>7.8008840000000017</v>
      </c>
      <c r="N410">
        <f t="shared" si="41"/>
        <v>7.9459400000000002</v>
      </c>
    </row>
    <row r="411" spans="1:14" x14ac:dyDescent="0.2">
      <c r="A411" s="1">
        <v>410</v>
      </c>
      <c r="B411" s="16" t="s">
        <v>426</v>
      </c>
      <c r="C411" s="5">
        <v>4</v>
      </c>
      <c r="D411" s="8">
        <v>3.5455260000000002</v>
      </c>
      <c r="E411" s="1">
        <v>-19.546759999999999</v>
      </c>
      <c r="F411" s="1">
        <v>-17.922246999999999</v>
      </c>
      <c r="G411" s="1">
        <v>-13.365558999999999</v>
      </c>
      <c r="H411" s="1">
        <v>-14.511872</v>
      </c>
      <c r="I411">
        <v>-14.411421000000001</v>
      </c>
      <c r="J411">
        <f t="shared" si="37"/>
        <v>8.7913099999999993</v>
      </c>
      <c r="K411">
        <f t="shared" si="38"/>
        <v>6.9500340000000023</v>
      </c>
      <c r="L411">
        <f t="shared" si="39"/>
        <v>7.7317540000000005</v>
      </c>
      <c r="M411">
        <f t="shared" si="40"/>
        <v>8.1516300000000008</v>
      </c>
      <c r="N411">
        <f t="shared" si="41"/>
        <v>8.3458329999999989</v>
      </c>
    </row>
    <row r="412" spans="1:14" x14ac:dyDescent="0.2">
      <c r="A412" s="1">
        <v>411</v>
      </c>
      <c r="B412" s="16" t="s">
        <v>427</v>
      </c>
      <c r="C412" s="5">
        <v>4</v>
      </c>
      <c r="D412" s="8">
        <v>3.5411549999999998</v>
      </c>
      <c r="E412" s="1">
        <v>-19.574313</v>
      </c>
      <c r="F412" s="1">
        <v>-17.332138</v>
      </c>
      <c r="G412" s="1">
        <v>-12.774151</v>
      </c>
      <c r="H412" s="1">
        <v>-13.7858</v>
      </c>
      <c r="I412">
        <v>-13.673672</v>
      </c>
      <c r="J412">
        <f t="shared" si="37"/>
        <v>8.7637569999999982</v>
      </c>
      <c r="K412">
        <f t="shared" si="38"/>
        <v>7.5401430000000005</v>
      </c>
      <c r="L412">
        <f t="shared" si="39"/>
        <v>8.3231619999999999</v>
      </c>
      <c r="M412">
        <f t="shared" si="40"/>
        <v>8.8777020000000011</v>
      </c>
      <c r="N412">
        <f t="shared" si="41"/>
        <v>9.0835819999999998</v>
      </c>
    </row>
    <row r="413" spans="1:14" x14ac:dyDescent="0.2">
      <c r="A413" s="1">
        <v>412</v>
      </c>
      <c r="B413" s="16" t="s">
        <v>428</v>
      </c>
      <c r="C413" s="5">
        <v>4</v>
      </c>
      <c r="D413" s="8">
        <v>3.4951449999999999</v>
      </c>
      <c r="E413" s="1">
        <v>-17.873781999999999</v>
      </c>
      <c r="F413" s="1">
        <v>-15.546495999999999</v>
      </c>
      <c r="G413" s="1">
        <v>-13.810533</v>
      </c>
      <c r="H413" s="1">
        <v>-16.078486999999999</v>
      </c>
      <c r="I413">
        <v>-15.971479</v>
      </c>
      <c r="J413">
        <f t="shared" si="37"/>
        <v>10.464288</v>
      </c>
      <c r="K413">
        <f t="shared" si="38"/>
        <v>9.3257850000000015</v>
      </c>
      <c r="L413">
        <f t="shared" si="39"/>
        <v>7.2867800000000003</v>
      </c>
      <c r="M413">
        <f t="shared" si="40"/>
        <v>6.5850150000000021</v>
      </c>
      <c r="N413">
        <f t="shared" si="41"/>
        <v>6.7857749999999992</v>
      </c>
    </row>
    <row r="414" spans="1:14" x14ac:dyDescent="0.2">
      <c r="A414" s="1">
        <v>413</v>
      </c>
      <c r="B414" s="16" t="s">
        <v>429</v>
      </c>
      <c r="C414" s="5">
        <v>4</v>
      </c>
      <c r="D414" s="8">
        <v>3.3193049999999999</v>
      </c>
      <c r="E414" s="1">
        <v>-18.925795999999998</v>
      </c>
      <c r="F414" s="1">
        <v>-16.779015999999999</v>
      </c>
      <c r="G414" s="1">
        <v>-14.928202000000001</v>
      </c>
      <c r="H414" s="1">
        <v>-16.838847999999999</v>
      </c>
      <c r="I414">
        <v>-16.882878000000002</v>
      </c>
      <c r="J414">
        <f t="shared" si="37"/>
        <v>9.412274</v>
      </c>
      <c r="K414">
        <f t="shared" si="38"/>
        <v>8.0932650000000024</v>
      </c>
      <c r="L414">
        <f t="shared" si="39"/>
        <v>6.1691109999999991</v>
      </c>
      <c r="M414">
        <f t="shared" si="40"/>
        <v>5.8246540000000024</v>
      </c>
      <c r="N414">
        <f t="shared" si="41"/>
        <v>5.874375999999998</v>
      </c>
    </row>
    <row r="415" spans="1:14" x14ac:dyDescent="0.2">
      <c r="A415" s="1">
        <v>414</v>
      </c>
      <c r="B415" s="16" t="s">
        <v>430</v>
      </c>
      <c r="C415" s="5">
        <v>4</v>
      </c>
      <c r="D415" s="8">
        <v>2.9280729999999999</v>
      </c>
      <c r="E415" s="1">
        <v>-17.465247000000002</v>
      </c>
      <c r="F415" s="1">
        <v>-15.935288</v>
      </c>
      <c r="G415" s="1">
        <v>-13.251652</v>
      </c>
      <c r="H415" s="1">
        <v>-14.254313</v>
      </c>
      <c r="I415">
        <v>-14.209500999999999</v>
      </c>
      <c r="J415">
        <f t="shared" si="37"/>
        <v>10.872822999999997</v>
      </c>
      <c r="K415">
        <f t="shared" si="38"/>
        <v>8.9369930000000011</v>
      </c>
      <c r="L415">
        <f t="shared" si="39"/>
        <v>7.8456609999999998</v>
      </c>
      <c r="M415">
        <f t="shared" si="40"/>
        <v>8.4091890000000014</v>
      </c>
      <c r="N415">
        <f t="shared" si="41"/>
        <v>8.5477530000000002</v>
      </c>
    </row>
    <row r="416" spans="1:14" x14ac:dyDescent="0.2">
      <c r="A416" s="1">
        <v>415</v>
      </c>
      <c r="B416" s="16" t="s">
        <v>431</v>
      </c>
      <c r="C416" s="5">
        <v>4</v>
      </c>
      <c r="D416" s="8">
        <v>2.8805800000000001</v>
      </c>
      <c r="E416" s="1">
        <v>-20.013453999999999</v>
      </c>
      <c r="F416" s="1">
        <v>-17.623964000000001</v>
      </c>
      <c r="G416" s="1">
        <v>-13.644303000000001</v>
      </c>
      <c r="H416" s="1">
        <v>-15.194326</v>
      </c>
      <c r="I416">
        <v>-15.255635</v>
      </c>
      <c r="J416">
        <f t="shared" si="37"/>
        <v>8.3246159999999989</v>
      </c>
      <c r="K416">
        <f t="shared" si="38"/>
        <v>7.2483170000000001</v>
      </c>
      <c r="L416">
        <f t="shared" si="39"/>
        <v>7.453009999999999</v>
      </c>
      <c r="M416">
        <f t="shared" si="40"/>
        <v>7.4691760000000009</v>
      </c>
      <c r="N416">
        <f t="shared" si="41"/>
        <v>7.5016189999999998</v>
      </c>
    </row>
    <row r="417" spans="1:14" x14ac:dyDescent="0.2">
      <c r="A417" s="1">
        <v>416</v>
      </c>
      <c r="B417" s="16" t="s">
        <v>432</v>
      </c>
      <c r="C417" s="5">
        <v>4</v>
      </c>
      <c r="D417" s="8">
        <v>2.376789</v>
      </c>
      <c r="E417" s="1">
        <v>-21.675901</v>
      </c>
      <c r="F417" s="1">
        <v>-18.998745</v>
      </c>
      <c r="G417" s="1">
        <v>-15.103740999999999</v>
      </c>
      <c r="H417" s="1">
        <v>-16.672616999999999</v>
      </c>
      <c r="I417">
        <v>-16.697286999999999</v>
      </c>
      <c r="J417">
        <f t="shared" si="37"/>
        <v>6.6621689999999987</v>
      </c>
      <c r="K417">
        <f t="shared" si="38"/>
        <v>5.8735360000000014</v>
      </c>
      <c r="L417">
        <f t="shared" si="39"/>
        <v>5.9935720000000003</v>
      </c>
      <c r="M417">
        <f t="shared" si="40"/>
        <v>5.9908850000000022</v>
      </c>
      <c r="N417">
        <f t="shared" si="41"/>
        <v>6.0599670000000003</v>
      </c>
    </row>
    <row r="418" spans="1:14" x14ac:dyDescent="0.2">
      <c r="A418" s="1">
        <v>417</v>
      </c>
      <c r="B418" s="16" t="s">
        <v>433</v>
      </c>
      <c r="C418" s="5">
        <v>4</v>
      </c>
      <c r="D418" s="8">
        <v>0.22600799999999999</v>
      </c>
      <c r="E418" s="1">
        <v>-16.717693000000001</v>
      </c>
      <c r="F418" s="1">
        <v>-16.486453999999998</v>
      </c>
      <c r="G418" s="1">
        <v>-14.797262999999999</v>
      </c>
      <c r="H418" s="1">
        <v>-15.681236999999999</v>
      </c>
      <c r="I418">
        <v>-15.833667999999999</v>
      </c>
      <c r="J418">
        <f t="shared" si="37"/>
        <v>11.620376999999998</v>
      </c>
      <c r="K418">
        <f t="shared" si="38"/>
        <v>8.3858270000000026</v>
      </c>
      <c r="L418">
        <f t="shared" si="39"/>
        <v>6.3000500000000006</v>
      </c>
      <c r="M418">
        <f t="shared" si="40"/>
        <v>6.9822650000000017</v>
      </c>
      <c r="N418">
        <f t="shared" si="41"/>
        <v>6.9235860000000002</v>
      </c>
    </row>
    <row r="419" spans="1:14" x14ac:dyDescent="0.2">
      <c r="A419" s="1">
        <v>418</v>
      </c>
      <c r="B419" s="16" t="s">
        <v>434</v>
      </c>
      <c r="C419" s="5">
        <v>4</v>
      </c>
      <c r="D419" s="8">
        <v>9.7902000000000003E-2</v>
      </c>
      <c r="E419" s="1">
        <v>-13.822929</v>
      </c>
      <c r="F419" s="1">
        <v>-12.471698999999999</v>
      </c>
      <c r="G419" s="1">
        <v>-11.768356000000001</v>
      </c>
      <c r="H419" s="1">
        <v>-13.453028</v>
      </c>
      <c r="I419">
        <v>-13.527225</v>
      </c>
      <c r="J419">
        <f t="shared" si="37"/>
        <v>14.515140999999998</v>
      </c>
      <c r="K419">
        <f t="shared" si="38"/>
        <v>12.400582000000002</v>
      </c>
      <c r="L419">
        <f t="shared" si="39"/>
        <v>9.3289569999999991</v>
      </c>
      <c r="M419">
        <f t="shared" si="40"/>
        <v>9.2104740000000014</v>
      </c>
      <c r="N419">
        <f t="shared" si="41"/>
        <v>9.230029</v>
      </c>
    </row>
    <row r="420" spans="1:14" x14ac:dyDescent="0.2">
      <c r="A420" s="1">
        <v>419</v>
      </c>
      <c r="B420" s="16" t="s">
        <v>435</v>
      </c>
      <c r="C420" s="5">
        <v>4</v>
      </c>
      <c r="D420" s="8">
        <v>-0.26174199999999997</v>
      </c>
      <c r="E420" s="1">
        <v>-11.082894</v>
      </c>
      <c r="F420" s="1">
        <v>-9.8757160000000006</v>
      </c>
      <c r="G420" s="1">
        <v>-6.8639950000000001</v>
      </c>
      <c r="H420" s="1">
        <v>-7.4909530000000002</v>
      </c>
      <c r="I420">
        <v>-7.481363</v>
      </c>
      <c r="J420">
        <f t="shared" si="37"/>
        <v>17.255175999999999</v>
      </c>
      <c r="K420">
        <f t="shared" si="38"/>
        <v>14.996565</v>
      </c>
      <c r="L420">
        <f t="shared" si="39"/>
        <v>14.233318000000001</v>
      </c>
      <c r="M420">
        <f t="shared" si="40"/>
        <v>15.172549</v>
      </c>
      <c r="N420">
        <f t="shared" si="41"/>
        <v>15.275891</v>
      </c>
    </row>
    <row r="421" spans="1:14" x14ac:dyDescent="0.2">
      <c r="A421" s="1">
        <v>420</v>
      </c>
      <c r="B421" s="16" t="s">
        <v>436</v>
      </c>
      <c r="C421" s="5">
        <v>4</v>
      </c>
      <c r="D421" s="8">
        <v>-0.44248900000000002</v>
      </c>
      <c r="E421" s="1">
        <v>-13.295423</v>
      </c>
      <c r="F421" s="1">
        <v>-14.138662</v>
      </c>
      <c r="G421" s="1">
        <v>-13.056863</v>
      </c>
      <c r="H421" s="1">
        <v>-15.055816</v>
      </c>
      <c r="I421">
        <v>-15.230653999999999</v>
      </c>
      <c r="J421">
        <f t="shared" si="37"/>
        <v>15.042646999999999</v>
      </c>
      <c r="K421">
        <f t="shared" si="38"/>
        <v>10.733619000000001</v>
      </c>
      <c r="L421">
        <f t="shared" si="39"/>
        <v>8.0404499999999999</v>
      </c>
      <c r="M421">
        <f t="shared" si="40"/>
        <v>7.6076860000000011</v>
      </c>
      <c r="N421">
        <f t="shared" si="41"/>
        <v>7.5266000000000002</v>
      </c>
    </row>
    <row r="422" spans="1:14" x14ac:dyDescent="0.2">
      <c r="A422" s="1">
        <v>421</v>
      </c>
      <c r="B422" s="16" t="s">
        <v>437</v>
      </c>
      <c r="C422" s="5">
        <v>4</v>
      </c>
      <c r="D422" s="8">
        <v>-0.47257900000000003</v>
      </c>
      <c r="E422" s="1">
        <v>-13.75751</v>
      </c>
      <c r="F422" s="1">
        <v>-13.035996000000001</v>
      </c>
      <c r="G422" s="1">
        <v>-10.719309000000001</v>
      </c>
      <c r="H422" s="1">
        <v>-11.658237</v>
      </c>
      <c r="I422">
        <v>-11.894971</v>
      </c>
      <c r="J422">
        <f t="shared" si="37"/>
        <v>14.580559999999998</v>
      </c>
      <c r="K422">
        <f t="shared" si="38"/>
        <v>11.836285</v>
      </c>
      <c r="L422">
        <f t="shared" si="39"/>
        <v>10.378003999999999</v>
      </c>
      <c r="M422">
        <f t="shared" si="40"/>
        <v>11.005265000000001</v>
      </c>
      <c r="N422">
        <f t="shared" si="41"/>
        <v>10.862283</v>
      </c>
    </row>
    <row r="423" spans="1:14" x14ac:dyDescent="0.2">
      <c r="A423" s="1">
        <v>422</v>
      </c>
      <c r="B423" s="16" t="s">
        <v>438</v>
      </c>
      <c r="C423" s="5">
        <v>4</v>
      </c>
      <c r="D423" s="8">
        <v>-0.65228900000000001</v>
      </c>
      <c r="E423" s="1">
        <v>-17.378007</v>
      </c>
      <c r="F423" s="1">
        <v>-16.866043000000001</v>
      </c>
      <c r="G423" s="1">
        <v>-17.299095999999999</v>
      </c>
      <c r="H423" s="1">
        <v>-19.086061999999998</v>
      </c>
      <c r="I423">
        <v>-19.156815000000002</v>
      </c>
      <c r="J423">
        <f t="shared" si="37"/>
        <v>10.960062999999998</v>
      </c>
      <c r="K423">
        <f t="shared" si="38"/>
        <v>8.0062379999999997</v>
      </c>
      <c r="L423">
        <f t="shared" si="39"/>
        <v>3.7982170000000011</v>
      </c>
      <c r="M423">
        <f t="shared" si="40"/>
        <v>3.5774400000000028</v>
      </c>
      <c r="N423">
        <f t="shared" si="41"/>
        <v>3.6004389999999979</v>
      </c>
    </row>
    <row r="424" spans="1:14" x14ac:dyDescent="0.2">
      <c r="A424" s="1">
        <v>423</v>
      </c>
      <c r="B424" s="16" t="s">
        <v>439</v>
      </c>
      <c r="C424" s="5">
        <v>4</v>
      </c>
      <c r="D424" s="8">
        <v>-0.78952100000000003</v>
      </c>
      <c r="E424" s="1">
        <v>-16.393775999999999</v>
      </c>
      <c r="F424" s="1">
        <v>-17.069296000000001</v>
      </c>
      <c r="G424" s="1">
        <v>-16.282222000000001</v>
      </c>
      <c r="H424" s="1">
        <v>-18.847536000000002</v>
      </c>
      <c r="I424">
        <v>-19.069393999999999</v>
      </c>
      <c r="J424">
        <f t="shared" si="37"/>
        <v>11.944293999999999</v>
      </c>
      <c r="K424">
        <f t="shared" si="38"/>
        <v>7.8029849999999996</v>
      </c>
      <c r="L424">
        <f t="shared" si="39"/>
        <v>4.8150909999999989</v>
      </c>
      <c r="M424">
        <f t="shared" si="40"/>
        <v>3.8159659999999995</v>
      </c>
      <c r="N424">
        <f t="shared" si="41"/>
        <v>3.6878600000000006</v>
      </c>
    </row>
    <row r="425" spans="1:14" x14ac:dyDescent="0.2">
      <c r="A425" s="1">
        <v>347</v>
      </c>
      <c r="B425" s="7" t="s">
        <v>363</v>
      </c>
      <c r="C425" s="5" t="s">
        <v>440</v>
      </c>
      <c r="D425" s="8">
        <v>6.6476139999999999</v>
      </c>
      <c r="L425">
        <f t="shared" si="39"/>
        <v>21.097313</v>
      </c>
      <c r="M425">
        <f t="shared" si="40"/>
        <v>22.663502000000001</v>
      </c>
      <c r="N425">
        <f t="shared" si="41"/>
        <v>22.757254</v>
      </c>
    </row>
    <row r="426" spans="1:14" x14ac:dyDescent="0.2">
      <c r="A426" s="1">
        <v>348</v>
      </c>
      <c r="B426" s="7" t="s">
        <v>364</v>
      </c>
      <c r="C426" s="5" t="s">
        <v>440</v>
      </c>
      <c r="D426" s="8">
        <v>6.6450139999999998</v>
      </c>
      <c r="L426">
        <f t="shared" si="39"/>
        <v>21.097313</v>
      </c>
      <c r="M426">
        <f t="shared" si="40"/>
        <v>22.663502000000001</v>
      </c>
      <c r="N426">
        <f t="shared" si="41"/>
        <v>22.757254</v>
      </c>
    </row>
    <row r="427" spans="1:14" x14ac:dyDescent="0.2">
      <c r="A427" s="1">
        <v>349</v>
      </c>
      <c r="B427" s="7" t="s">
        <v>365</v>
      </c>
      <c r="C427" s="5" t="s">
        <v>440</v>
      </c>
      <c r="D427" s="8">
        <v>6.4850940000000001</v>
      </c>
      <c r="L427">
        <f t="shared" si="39"/>
        <v>21.097313</v>
      </c>
      <c r="M427">
        <f t="shared" si="40"/>
        <v>22.663502000000001</v>
      </c>
      <c r="N427">
        <f t="shared" si="41"/>
        <v>22.757254</v>
      </c>
    </row>
    <row r="428" spans="1:14" x14ac:dyDescent="0.2">
      <c r="A428" s="1">
        <v>350</v>
      </c>
      <c r="B428" s="7" t="s">
        <v>366</v>
      </c>
      <c r="C428" s="5" t="s">
        <v>440</v>
      </c>
      <c r="D428" s="8">
        <v>6.4842490000000002</v>
      </c>
      <c r="L428">
        <f t="shared" si="39"/>
        <v>21.097313</v>
      </c>
      <c r="M428">
        <f t="shared" si="40"/>
        <v>22.663502000000001</v>
      </c>
      <c r="N428">
        <f t="shared" si="41"/>
        <v>22.757254</v>
      </c>
    </row>
    <row r="429" spans="1:14" x14ac:dyDescent="0.2">
      <c r="A429" s="1">
        <v>351</v>
      </c>
      <c r="B429" s="7" t="s">
        <v>367</v>
      </c>
      <c r="C429" s="5" t="s">
        <v>440</v>
      </c>
      <c r="D429" s="8">
        <v>6.4731880000000004</v>
      </c>
      <c r="L429">
        <f t="shared" si="39"/>
        <v>21.097313</v>
      </c>
      <c r="M429">
        <f t="shared" si="40"/>
        <v>22.663502000000001</v>
      </c>
      <c r="N429">
        <f t="shared" si="41"/>
        <v>22.757254</v>
      </c>
    </row>
    <row r="430" spans="1:14" x14ac:dyDescent="0.2">
      <c r="A430" s="1">
        <v>352</v>
      </c>
      <c r="B430" s="7" t="s">
        <v>368</v>
      </c>
      <c r="C430" s="5" t="s">
        <v>440</v>
      </c>
      <c r="D430" s="8">
        <v>6.4681949999999997</v>
      </c>
      <c r="L430">
        <f t="shared" si="39"/>
        <v>21.097313</v>
      </c>
      <c r="M430">
        <f t="shared" si="40"/>
        <v>22.663502000000001</v>
      </c>
      <c r="N430">
        <f t="shared" si="41"/>
        <v>22.757254</v>
      </c>
    </row>
    <row r="431" spans="1:14" x14ac:dyDescent="0.2">
      <c r="A431" s="1">
        <v>353</v>
      </c>
      <c r="B431" s="7" t="s">
        <v>369</v>
      </c>
      <c r="C431" s="5" t="s">
        <v>440</v>
      </c>
      <c r="D431" s="8">
        <v>6.4636459999999998</v>
      </c>
      <c r="L431">
        <f t="shared" si="39"/>
        <v>21.097313</v>
      </c>
      <c r="M431">
        <f t="shared" si="40"/>
        <v>22.663502000000001</v>
      </c>
      <c r="N431">
        <f t="shared" si="41"/>
        <v>22.757254</v>
      </c>
    </row>
    <row r="432" spans="1:14" x14ac:dyDescent="0.2">
      <c r="A432" s="1">
        <v>354</v>
      </c>
      <c r="B432" s="7" t="s">
        <v>370</v>
      </c>
      <c r="C432" s="5" t="s">
        <v>440</v>
      </c>
      <c r="D432" s="8">
        <v>6.4295429999999998</v>
      </c>
      <c r="L432">
        <f t="shared" si="39"/>
        <v>21.097313</v>
      </c>
      <c r="M432">
        <f t="shared" si="40"/>
        <v>22.663502000000001</v>
      </c>
      <c r="N432">
        <f t="shared" si="41"/>
        <v>22.757254</v>
      </c>
    </row>
    <row r="433" spans="1:14" x14ac:dyDescent="0.2">
      <c r="A433" s="1">
        <v>355</v>
      </c>
      <c r="B433" s="7" t="s">
        <v>371</v>
      </c>
      <c r="C433" s="5" t="s">
        <v>440</v>
      </c>
      <c r="D433" s="8">
        <v>6.4254119999999997</v>
      </c>
      <c r="L433">
        <f t="shared" si="39"/>
        <v>21.097313</v>
      </c>
      <c r="M433">
        <f t="shared" si="40"/>
        <v>22.663502000000001</v>
      </c>
      <c r="N433">
        <f t="shared" si="41"/>
        <v>22.757254</v>
      </c>
    </row>
    <row r="434" spans="1:14" x14ac:dyDescent="0.2">
      <c r="A434" s="1">
        <v>356</v>
      </c>
      <c r="B434" s="7" t="s">
        <v>372</v>
      </c>
      <c r="C434" s="5" t="s">
        <v>440</v>
      </c>
      <c r="D434" s="8">
        <v>6.4144439999999996</v>
      </c>
      <c r="L434">
        <f t="shared" si="39"/>
        <v>21.097313</v>
      </c>
      <c r="M434">
        <f t="shared" si="40"/>
        <v>22.663502000000001</v>
      </c>
      <c r="N434">
        <f t="shared" si="41"/>
        <v>22.757254</v>
      </c>
    </row>
    <row r="435" spans="1:14" x14ac:dyDescent="0.2">
      <c r="A435" s="1">
        <v>357</v>
      </c>
      <c r="B435" s="7" t="s">
        <v>373</v>
      </c>
      <c r="C435" s="5" t="s">
        <v>440</v>
      </c>
      <c r="D435" s="8">
        <v>6.3889259999999997</v>
      </c>
      <c r="L435">
        <f t="shared" si="39"/>
        <v>21.097313</v>
      </c>
      <c r="M435">
        <f t="shared" si="40"/>
        <v>22.663502000000001</v>
      </c>
      <c r="N435">
        <f t="shared" si="41"/>
        <v>22.757254</v>
      </c>
    </row>
    <row r="436" spans="1:14" x14ac:dyDescent="0.2">
      <c r="A436" s="1">
        <v>358</v>
      </c>
      <c r="B436" s="7" t="s">
        <v>374</v>
      </c>
      <c r="C436" s="5" t="s">
        <v>440</v>
      </c>
      <c r="D436" s="8">
        <v>6.2970199999999998</v>
      </c>
      <c r="L436">
        <f t="shared" si="39"/>
        <v>21.097313</v>
      </c>
      <c r="M436">
        <f t="shared" si="40"/>
        <v>22.663502000000001</v>
      </c>
      <c r="N436">
        <f t="shared" si="41"/>
        <v>22.757254</v>
      </c>
    </row>
    <row r="437" spans="1:14" x14ac:dyDescent="0.2">
      <c r="A437" s="1">
        <v>359</v>
      </c>
      <c r="B437" s="7" t="s">
        <v>375</v>
      </c>
      <c r="C437" s="5" t="s">
        <v>440</v>
      </c>
      <c r="D437" s="8">
        <v>6.2773849999999998</v>
      </c>
      <c r="L437">
        <f t="shared" si="39"/>
        <v>21.097313</v>
      </c>
      <c r="M437">
        <f t="shared" si="40"/>
        <v>22.663502000000001</v>
      </c>
      <c r="N437">
        <f t="shared" si="41"/>
        <v>22.757254</v>
      </c>
    </row>
    <row r="438" spans="1:14" x14ac:dyDescent="0.2">
      <c r="A438" s="1">
        <v>360</v>
      </c>
      <c r="B438" s="7" t="s">
        <v>376</v>
      </c>
      <c r="C438" s="5" t="s">
        <v>440</v>
      </c>
      <c r="D438" s="8">
        <v>6.2666849999999998</v>
      </c>
      <c r="L438">
        <f t="shared" si="39"/>
        <v>21.097313</v>
      </c>
      <c r="M438">
        <f t="shared" si="40"/>
        <v>22.663502000000001</v>
      </c>
      <c r="N438">
        <f t="shared" si="41"/>
        <v>22.757254</v>
      </c>
    </row>
    <row r="439" spans="1:14" x14ac:dyDescent="0.2">
      <c r="A439" s="1">
        <v>361</v>
      </c>
      <c r="B439" s="7" t="s">
        <v>377</v>
      </c>
      <c r="C439" s="5" t="s">
        <v>440</v>
      </c>
      <c r="D439" s="8">
        <v>6.2536199999999997</v>
      </c>
      <c r="L439">
        <f t="shared" si="39"/>
        <v>21.097313</v>
      </c>
      <c r="M439">
        <f t="shared" si="40"/>
        <v>22.663502000000001</v>
      </c>
      <c r="N439">
        <f t="shared" si="41"/>
        <v>22.757254</v>
      </c>
    </row>
    <row r="440" spans="1:14" x14ac:dyDescent="0.2">
      <c r="A440" s="1">
        <v>362</v>
      </c>
      <c r="B440" s="7" t="s">
        <v>378</v>
      </c>
      <c r="C440" s="5" t="s">
        <v>440</v>
      </c>
      <c r="D440" s="8">
        <v>6.1985409999999996</v>
      </c>
      <c r="L440">
        <f t="shared" si="39"/>
        <v>21.097313</v>
      </c>
      <c r="M440">
        <f t="shared" si="40"/>
        <v>22.663502000000001</v>
      </c>
      <c r="N440">
        <f t="shared" si="41"/>
        <v>22.757254</v>
      </c>
    </row>
    <row r="441" spans="1:14" x14ac:dyDescent="0.2">
      <c r="A441" s="1">
        <v>363</v>
      </c>
      <c r="B441" s="7" t="s">
        <v>379</v>
      </c>
      <c r="C441" s="5" t="s">
        <v>440</v>
      </c>
      <c r="D441" s="8">
        <v>6.1494739999999997</v>
      </c>
      <c r="L441">
        <f t="shared" si="39"/>
        <v>21.097313</v>
      </c>
      <c r="M441">
        <f t="shared" si="40"/>
        <v>22.663502000000001</v>
      </c>
      <c r="N441">
        <f t="shared" si="41"/>
        <v>22.757254</v>
      </c>
    </row>
    <row r="442" spans="1:14" x14ac:dyDescent="0.2">
      <c r="A442" s="1">
        <v>364</v>
      </c>
      <c r="B442" s="7" t="s">
        <v>380</v>
      </c>
      <c r="C442" s="5" t="s">
        <v>440</v>
      </c>
      <c r="D442" s="8">
        <v>6.145289</v>
      </c>
      <c r="L442">
        <f t="shared" si="39"/>
        <v>21.097313</v>
      </c>
      <c r="M442">
        <f t="shared" si="40"/>
        <v>22.663502000000001</v>
      </c>
      <c r="N442">
        <f t="shared" si="41"/>
        <v>22.757254</v>
      </c>
    </row>
    <row r="443" spans="1:14" x14ac:dyDescent="0.2">
      <c r="A443" s="1">
        <v>365</v>
      </c>
      <c r="B443" s="7" t="s">
        <v>381</v>
      </c>
      <c r="C443" s="5" t="s">
        <v>440</v>
      </c>
      <c r="D443" s="8">
        <v>6.1298450000000004</v>
      </c>
      <c r="L443">
        <f t="shared" si="39"/>
        <v>21.097313</v>
      </c>
      <c r="M443">
        <f t="shared" si="40"/>
        <v>22.663502000000001</v>
      </c>
      <c r="N443">
        <f t="shared" si="41"/>
        <v>22.757254</v>
      </c>
    </row>
    <row r="444" spans="1:14" x14ac:dyDescent="0.2">
      <c r="A444" s="1">
        <v>366</v>
      </c>
      <c r="B444" s="7" t="s">
        <v>382</v>
      </c>
      <c r="C444" s="5" t="s">
        <v>440</v>
      </c>
      <c r="D444" s="8">
        <v>6.0766939999999998</v>
      </c>
      <c r="L444">
        <f t="shared" si="39"/>
        <v>21.097313</v>
      </c>
      <c r="M444">
        <f t="shared" si="40"/>
        <v>22.663502000000001</v>
      </c>
      <c r="N444">
        <f t="shared" si="41"/>
        <v>22.757254</v>
      </c>
    </row>
    <row r="445" spans="1:14" x14ac:dyDescent="0.2">
      <c r="A445" s="1">
        <v>367</v>
      </c>
      <c r="B445" s="7" t="s">
        <v>383</v>
      </c>
      <c r="C445" s="5" t="s">
        <v>440</v>
      </c>
      <c r="D445" s="8">
        <v>6.0042460000000002</v>
      </c>
      <c r="L445">
        <f t="shared" si="39"/>
        <v>21.097313</v>
      </c>
      <c r="M445">
        <f t="shared" si="40"/>
        <v>22.663502000000001</v>
      </c>
      <c r="N445">
        <f t="shared" si="41"/>
        <v>22.757254</v>
      </c>
    </row>
    <row r="446" spans="1:14" x14ac:dyDescent="0.2">
      <c r="A446" s="1">
        <v>368</v>
      </c>
      <c r="B446" s="7" t="s">
        <v>384</v>
      </c>
      <c r="C446" s="5" t="s">
        <v>440</v>
      </c>
      <c r="D446" s="8">
        <v>5.9979630000000004</v>
      </c>
      <c r="L446">
        <f t="shared" si="39"/>
        <v>21.097313</v>
      </c>
      <c r="M446">
        <f t="shared" si="40"/>
        <v>22.663502000000001</v>
      </c>
      <c r="N446">
        <f t="shared" si="41"/>
        <v>22.757254</v>
      </c>
    </row>
    <row r="447" spans="1:14" x14ac:dyDescent="0.2">
      <c r="A447" s="1">
        <v>369</v>
      </c>
      <c r="B447" s="7" t="s">
        <v>385</v>
      </c>
      <c r="C447" s="5" t="s">
        <v>440</v>
      </c>
      <c r="D447" s="8">
        <v>5.9721799999999998</v>
      </c>
      <c r="L447">
        <f t="shared" si="39"/>
        <v>21.097313</v>
      </c>
      <c r="M447">
        <f t="shared" si="40"/>
        <v>22.663502000000001</v>
      </c>
      <c r="N447">
        <f t="shared" si="41"/>
        <v>22.757254</v>
      </c>
    </row>
    <row r="448" spans="1:14" x14ac:dyDescent="0.2">
      <c r="A448" s="1">
        <v>371</v>
      </c>
      <c r="B448" s="7" t="s">
        <v>387</v>
      </c>
      <c r="C448" s="5" t="s">
        <v>440</v>
      </c>
      <c r="D448" s="8">
        <v>5.9085739999999998</v>
      </c>
      <c r="L448">
        <f t="shared" si="39"/>
        <v>21.097313</v>
      </c>
      <c r="M448">
        <f t="shared" si="40"/>
        <v>22.663502000000001</v>
      </c>
      <c r="N448">
        <f t="shared" si="41"/>
        <v>22.757254</v>
      </c>
    </row>
    <row r="449" spans="1:14" x14ac:dyDescent="0.2">
      <c r="A449" s="1">
        <v>372</v>
      </c>
      <c r="B449" s="7" t="s">
        <v>388</v>
      </c>
      <c r="C449" s="5" t="s">
        <v>440</v>
      </c>
      <c r="D449" s="8">
        <v>5.8416920000000001</v>
      </c>
      <c r="L449">
        <f t="shared" si="39"/>
        <v>21.097313</v>
      </c>
      <c r="M449">
        <f t="shared" si="40"/>
        <v>22.663502000000001</v>
      </c>
      <c r="N449">
        <f t="shared" si="41"/>
        <v>22.757254</v>
      </c>
    </row>
    <row r="450" spans="1:14" x14ac:dyDescent="0.2">
      <c r="A450" s="1">
        <v>373</v>
      </c>
      <c r="B450" s="7" t="s">
        <v>389</v>
      </c>
      <c r="C450" s="5" t="s">
        <v>440</v>
      </c>
      <c r="D450" s="8">
        <v>5.8150089999999999</v>
      </c>
      <c r="L450">
        <f t="shared" si="39"/>
        <v>21.097313</v>
      </c>
      <c r="M450">
        <f t="shared" si="40"/>
        <v>22.663502000000001</v>
      </c>
      <c r="N450">
        <f t="shared" si="41"/>
        <v>22.757254</v>
      </c>
    </row>
    <row r="451" spans="1:14" x14ac:dyDescent="0.2">
      <c r="A451" s="1">
        <v>374</v>
      </c>
      <c r="B451" s="7" t="s">
        <v>390</v>
      </c>
      <c r="C451" s="5" t="s">
        <v>440</v>
      </c>
      <c r="D451" s="8">
        <v>5.7624339999999998</v>
      </c>
      <c r="L451">
        <f t="shared" ref="L451:L497" si="42">G451-G$2</f>
        <v>21.097313</v>
      </c>
      <c r="M451">
        <f t="shared" ref="M451:M497" si="43">H451-H$2</f>
        <v>22.663502000000001</v>
      </c>
      <c r="N451">
        <f t="shared" ref="N451:N497" si="44">I451-I$2</f>
        <v>22.757254</v>
      </c>
    </row>
    <row r="452" spans="1:14" x14ac:dyDescent="0.2">
      <c r="A452" s="1">
        <v>375</v>
      </c>
      <c r="B452" s="7" t="s">
        <v>391</v>
      </c>
      <c r="C452" s="5" t="s">
        <v>440</v>
      </c>
      <c r="D452" s="8">
        <v>5.6806179999999999</v>
      </c>
      <c r="L452">
        <f t="shared" si="42"/>
        <v>21.097313</v>
      </c>
      <c r="M452">
        <f t="shared" si="43"/>
        <v>22.663502000000001</v>
      </c>
      <c r="N452">
        <f t="shared" si="44"/>
        <v>22.757254</v>
      </c>
    </row>
    <row r="453" spans="1:14" x14ac:dyDescent="0.2">
      <c r="A453" s="1">
        <v>376</v>
      </c>
      <c r="B453" s="7" t="s">
        <v>392</v>
      </c>
      <c r="C453" s="5" t="s">
        <v>440</v>
      </c>
      <c r="D453" s="8">
        <v>5.669937</v>
      </c>
      <c r="L453">
        <f t="shared" si="42"/>
        <v>21.097313</v>
      </c>
      <c r="M453">
        <f t="shared" si="43"/>
        <v>22.663502000000001</v>
      </c>
      <c r="N453">
        <f t="shared" si="44"/>
        <v>22.757254</v>
      </c>
    </row>
    <row r="454" spans="1:14" x14ac:dyDescent="0.2">
      <c r="A454" s="1">
        <v>377</v>
      </c>
      <c r="B454" s="7" t="s">
        <v>393</v>
      </c>
      <c r="C454" s="5" t="s">
        <v>440</v>
      </c>
      <c r="D454" s="8">
        <v>5.5535959999999998</v>
      </c>
      <c r="L454">
        <f t="shared" si="42"/>
        <v>21.097313</v>
      </c>
      <c r="M454">
        <f t="shared" si="43"/>
        <v>22.663502000000001</v>
      </c>
      <c r="N454">
        <f t="shared" si="44"/>
        <v>22.757254</v>
      </c>
    </row>
    <row r="455" spans="1:14" x14ac:dyDescent="0.2">
      <c r="A455" s="1">
        <v>378</v>
      </c>
      <c r="B455" s="7" t="s">
        <v>394</v>
      </c>
      <c r="C455" s="5" t="s">
        <v>440</v>
      </c>
      <c r="D455" s="8">
        <v>5.5378939999999997</v>
      </c>
      <c r="L455">
        <f t="shared" si="42"/>
        <v>21.097313</v>
      </c>
      <c r="M455">
        <f t="shared" si="43"/>
        <v>22.663502000000001</v>
      </c>
      <c r="N455">
        <f t="shared" si="44"/>
        <v>22.757254</v>
      </c>
    </row>
    <row r="456" spans="1:14" x14ac:dyDescent="0.2">
      <c r="A456" s="1">
        <v>379</v>
      </c>
      <c r="B456" s="7" t="s">
        <v>395</v>
      </c>
      <c r="C456" s="5" t="s">
        <v>440</v>
      </c>
      <c r="D456" s="8">
        <v>5.5197640000000003</v>
      </c>
      <c r="L456">
        <f t="shared" si="42"/>
        <v>21.097313</v>
      </c>
      <c r="M456">
        <f t="shared" si="43"/>
        <v>22.663502000000001</v>
      </c>
      <c r="N456">
        <f t="shared" si="44"/>
        <v>22.757254</v>
      </c>
    </row>
    <row r="457" spans="1:14" x14ac:dyDescent="0.2">
      <c r="A457" s="1">
        <v>380</v>
      </c>
      <c r="B457" s="7" t="s">
        <v>396</v>
      </c>
      <c r="C457" s="5" t="s">
        <v>440</v>
      </c>
      <c r="D457" s="8">
        <v>5.262181</v>
      </c>
      <c r="L457">
        <f t="shared" si="42"/>
        <v>21.097313</v>
      </c>
      <c r="M457">
        <f t="shared" si="43"/>
        <v>22.663502000000001</v>
      </c>
      <c r="N457">
        <f t="shared" si="44"/>
        <v>22.757254</v>
      </c>
    </row>
    <row r="458" spans="1:14" x14ac:dyDescent="0.2">
      <c r="A458" s="1">
        <v>381</v>
      </c>
      <c r="B458" s="7" t="s">
        <v>397</v>
      </c>
      <c r="C458" s="5" t="s">
        <v>440</v>
      </c>
      <c r="D458" s="8">
        <v>5.0915660000000003</v>
      </c>
      <c r="L458">
        <f t="shared" si="42"/>
        <v>21.097313</v>
      </c>
      <c r="M458">
        <f t="shared" si="43"/>
        <v>22.663502000000001</v>
      </c>
      <c r="N458">
        <f t="shared" si="44"/>
        <v>22.757254</v>
      </c>
    </row>
    <row r="459" spans="1:14" x14ac:dyDescent="0.2">
      <c r="A459" s="1">
        <v>382</v>
      </c>
      <c r="B459" s="7" t="s">
        <v>398</v>
      </c>
      <c r="C459" s="5" t="s">
        <v>440</v>
      </c>
      <c r="D459" s="8">
        <v>5.0829399999999998</v>
      </c>
      <c r="L459">
        <f t="shared" si="42"/>
        <v>21.097313</v>
      </c>
      <c r="M459">
        <f t="shared" si="43"/>
        <v>22.663502000000001</v>
      </c>
      <c r="N459">
        <f t="shared" si="44"/>
        <v>22.757254</v>
      </c>
    </row>
    <row r="460" spans="1:14" x14ac:dyDescent="0.2">
      <c r="A460" s="1">
        <v>383</v>
      </c>
      <c r="B460" s="7" t="s">
        <v>399</v>
      </c>
      <c r="C460" s="5" t="s">
        <v>440</v>
      </c>
      <c r="D460" s="8">
        <v>5.0769869999999999</v>
      </c>
      <c r="L460">
        <f t="shared" si="42"/>
        <v>21.097313</v>
      </c>
      <c r="M460">
        <f t="shared" si="43"/>
        <v>22.663502000000001</v>
      </c>
      <c r="N460">
        <f t="shared" si="44"/>
        <v>22.757254</v>
      </c>
    </row>
    <row r="461" spans="1:14" x14ac:dyDescent="0.2">
      <c r="A461" s="1">
        <v>384</v>
      </c>
      <c r="B461" s="7" t="s">
        <v>400</v>
      </c>
      <c r="C461" s="5" t="s">
        <v>440</v>
      </c>
      <c r="D461" s="8">
        <v>5.0518999999999998</v>
      </c>
      <c r="L461">
        <f t="shared" si="42"/>
        <v>21.097313</v>
      </c>
      <c r="M461">
        <f t="shared" si="43"/>
        <v>22.663502000000001</v>
      </c>
      <c r="N461">
        <f t="shared" si="44"/>
        <v>22.757254</v>
      </c>
    </row>
    <row r="462" spans="1:14" x14ac:dyDescent="0.2">
      <c r="A462" s="1">
        <v>385</v>
      </c>
      <c r="B462" s="7" t="s">
        <v>401</v>
      </c>
      <c r="C462" s="5" t="s">
        <v>440</v>
      </c>
      <c r="D462" s="8">
        <v>5.0434130000000001</v>
      </c>
      <c r="L462">
        <f t="shared" si="42"/>
        <v>21.097313</v>
      </c>
      <c r="M462">
        <f t="shared" si="43"/>
        <v>22.663502000000001</v>
      </c>
      <c r="N462">
        <f t="shared" si="44"/>
        <v>22.757254</v>
      </c>
    </row>
    <row r="463" spans="1:14" x14ac:dyDescent="0.2">
      <c r="A463" s="1">
        <v>386</v>
      </c>
      <c r="B463" s="7" t="s">
        <v>402</v>
      </c>
      <c r="C463" s="5" t="s">
        <v>440</v>
      </c>
      <c r="D463" s="8">
        <v>5.0379589999999999</v>
      </c>
      <c r="L463">
        <f t="shared" si="42"/>
        <v>21.097313</v>
      </c>
      <c r="M463">
        <f t="shared" si="43"/>
        <v>22.663502000000001</v>
      </c>
      <c r="N463">
        <f t="shared" si="44"/>
        <v>22.757254</v>
      </c>
    </row>
    <row r="464" spans="1:14" x14ac:dyDescent="0.2">
      <c r="A464" s="1">
        <v>387</v>
      </c>
      <c r="B464" s="7" t="s">
        <v>403</v>
      </c>
      <c r="C464" s="5" t="s">
        <v>440</v>
      </c>
      <c r="D464" s="8">
        <v>4.9886330000000001</v>
      </c>
      <c r="L464">
        <f t="shared" si="42"/>
        <v>21.097313</v>
      </c>
      <c r="M464">
        <f t="shared" si="43"/>
        <v>22.663502000000001</v>
      </c>
      <c r="N464">
        <f t="shared" si="44"/>
        <v>22.757254</v>
      </c>
    </row>
    <row r="465" spans="1:14" x14ac:dyDescent="0.2">
      <c r="A465" s="1">
        <v>388</v>
      </c>
      <c r="B465" s="7" t="s">
        <v>404</v>
      </c>
      <c r="C465" s="5" t="s">
        <v>440</v>
      </c>
      <c r="D465" s="8">
        <v>4.9321640000000002</v>
      </c>
      <c r="L465">
        <f t="shared" si="42"/>
        <v>21.097313</v>
      </c>
      <c r="M465">
        <f t="shared" si="43"/>
        <v>22.663502000000001</v>
      </c>
      <c r="N465">
        <f t="shared" si="44"/>
        <v>22.757254</v>
      </c>
    </row>
    <row r="466" spans="1:14" x14ac:dyDescent="0.2">
      <c r="A466" s="1">
        <v>389</v>
      </c>
      <c r="B466" s="7" t="s">
        <v>405</v>
      </c>
      <c r="C466" s="5" t="s">
        <v>440</v>
      </c>
      <c r="D466" s="8">
        <v>4.9208660000000002</v>
      </c>
      <c r="L466">
        <f t="shared" si="42"/>
        <v>21.097313</v>
      </c>
      <c r="M466">
        <f t="shared" si="43"/>
        <v>22.663502000000001</v>
      </c>
      <c r="N466">
        <f t="shared" si="44"/>
        <v>22.757254</v>
      </c>
    </row>
    <row r="467" spans="1:14" x14ac:dyDescent="0.2">
      <c r="A467" s="1">
        <v>391</v>
      </c>
      <c r="B467" s="7" t="s">
        <v>407</v>
      </c>
      <c r="C467" s="5" t="s">
        <v>440</v>
      </c>
      <c r="D467" s="8">
        <v>4.7873859999999997</v>
      </c>
      <c r="L467">
        <f t="shared" si="42"/>
        <v>21.097313</v>
      </c>
      <c r="M467">
        <f t="shared" si="43"/>
        <v>22.663502000000001</v>
      </c>
      <c r="N467">
        <f t="shared" si="44"/>
        <v>22.757254</v>
      </c>
    </row>
    <row r="468" spans="1:14" x14ac:dyDescent="0.2">
      <c r="A468" s="1">
        <v>392</v>
      </c>
      <c r="B468" s="7" t="s">
        <v>408</v>
      </c>
      <c r="C468" s="5" t="s">
        <v>440</v>
      </c>
      <c r="D468" s="8">
        <v>4.7370429999999999</v>
      </c>
      <c r="L468">
        <f t="shared" si="42"/>
        <v>21.097313</v>
      </c>
      <c r="M468">
        <f t="shared" si="43"/>
        <v>22.663502000000001</v>
      </c>
      <c r="N468">
        <f t="shared" si="44"/>
        <v>22.757254</v>
      </c>
    </row>
    <row r="469" spans="1:14" x14ac:dyDescent="0.2">
      <c r="A469" s="1">
        <v>393</v>
      </c>
      <c r="B469" s="7" t="s">
        <v>409</v>
      </c>
      <c r="C469" s="5" t="s">
        <v>440</v>
      </c>
      <c r="D469" s="8">
        <v>4.6968779999999999</v>
      </c>
      <c r="L469">
        <f t="shared" si="42"/>
        <v>21.097313</v>
      </c>
      <c r="M469">
        <f t="shared" si="43"/>
        <v>22.663502000000001</v>
      </c>
      <c r="N469">
        <f t="shared" si="44"/>
        <v>22.757254</v>
      </c>
    </row>
    <row r="470" spans="1:14" x14ac:dyDescent="0.2">
      <c r="A470" s="1">
        <v>395</v>
      </c>
      <c r="B470" s="7" t="s">
        <v>411</v>
      </c>
      <c r="C470" s="5" t="s">
        <v>440</v>
      </c>
      <c r="D470" s="8">
        <v>4.6255879999999996</v>
      </c>
      <c r="L470">
        <f t="shared" si="42"/>
        <v>21.097313</v>
      </c>
      <c r="M470">
        <f t="shared" si="43"/>
        <v>22.663502000000001</v>
      </c>
      <c r="N470">
        <f t="shared" si="44"/>
        <v>22.757254</v>
      </c>
    </row>
    <row r="471" spans="1:14" x14ac:dyDescent="0.2">
      <c r="A471" s="1">
        <v>396</v>
      </c>
      <c r="B471" s="7" t="s">
        <v>412</v>
      </c>
      <c r="C471" s="5" t="s">
        <v>440</v>
      </c>
      <c r="D471" s="8">
        <v>4.4418639999999998</v>
      </c>
      <c r="L471">
        <f t="shared" si="42"/>
        <v>21.097313</v>
      </c>
      <c r="M471">
        <f t="shared" si="43"/>
        <v>22.663502000000001</v>
      </c>
      <c r="N471">
        <f t="shared" si="44"/>
        <v>22.757254</v>
      </c>
    </row>
    <row r="472" spans="1:14" x14ac:dyDescent="0.2">
      <c r="A472" s="1">
        <v>397</v>
      </c>
      <c r="B472" s="7" t="s">
        <v>413</v>
      </c>
      <c r="C472" s="5" t="s">
        <v>440</v>
      </c>
      <c r="D472" s="8">
        <v>4.4208249999999998</v>
      </c>
      <c r="L472">
        <f t="shared" si="42"/>
        <v>21.097313</v>
      </c>
      <c r="M472">
        <f t="shared" si="43"/>
        <v>22.663502000000001</v>
      </c>
      <c r="N472">
        <f t="shared" si="44"/>
        <v>22.757254</v>
      </c>
    </row>
    <row r="473" spans="1:14" x14ac:dyDescent="0.2">
      <c r="A473" s="1">
        <v>398</v>
      </c>
      <c r="B473" s="7" t="s">
        <v>414</v>
      </c>
      <c r="C473" s="5" t="s">
        <v>440</v>
      </c>
      <c r="D473" s="8">
        <v>4.362304</v>
      </c>
      <c r="L473">
        <f t="shared" si="42"/>
        <v>21.097313</v>
      </c>
      <c r="M473">
        <f t="shared" si="43"/>
        <v>22.663502000000001</v>
      </c>
      <c r="N473">
        <f t="shared" si="44"/>
        <v>22.757254</v>
      </c>
    </row>
    <row r="474" spans="1:14" x14ac:dyDescent="0.2">
      <c r="A474" s="1">
        <v>399</v>
      </c>
      <c r="B474" s="7" t="s">
        <v>415</v>
      </c>
      <c r="C474" s="5" t="s">
        <v>440</v>
      </c>
      <c r="D474" s="8">
        <v>4.2538349999999996</v>
      </c>
      <c r="L474">
        <f t="shared" si="42"/>
        <v>21.097313</v>
      </c>
      <c r="M474">
        <f t="shared" si="43"/>
        <v>22.663502000000001</v>
      </c>
      <c r="N474">
        <f t="shared" si="44"/>
        <v>22.757254</v>
      </c>
    </row>
    <row r="475" spans="1:14" x14ac:dyDescent="0.2">
      <c r="A475" s="1">
        <v>400</v>
      </c>
      <c r="B475" s="7" t="s">
        <v>416</v>
      </c>
      <c r="C475" s="5" t="s">
        <v>440</v>
      </c>
      <c r="D475" s="8">
        <v>4.2444189999999997</v>
      </c>
      <c r="L475">
        <f t="shared" si="42"/>
        <v>21.097313</v>
      </c>
      <c r="M475">
        <f t="shared" si="43"/>
        <v>22.663502000000001</v>
      </c>
      <c r="N475">
        <f t="shared" si="44"/>
        <v>22.757254</v>
      </c>
    </row>
    <row r="476" spans="1:14" x14ac:dyDescent="0.2">
      <c r="A476" s="1">
        <v>401</v>
      </c>
      <c r="B476" s="7" t="s">
        <v>417</v>
      </c>
      <c r="C476" s="5" t="s">
        <v>440</v>
      </c>
      <c r="D476" s="8">
        <v>4.1939830000000002</v>
      </c>
      <c r="L476">
        <f t="shared" si="42"/>
        <v>21.097313</v>
      </c>
      <c r="M476">
        <f t="shared" si="43"/>
        <v>22.663502000000001</v>
      </c>
      <c r="N476">
        <f t="shared" si="44"/>
        <v>22.757254</v>
      </c>
    </row>
    <row r="477" spans="1:14" x14ac:dyDescent="0.2">
      <c r="A477" s="1">
        <v>402</v>
      </c>
      <c r="B477" s="7" t="s">
        <v>418</v>
      </c>
      <c r="C477" s="5" t="s">
        <v>440</v>
      </c>
      <c r="D477" s="8">
        <v>4.1473550000000001</v>
      </c>
      <c r="L477">
        <f t="shared" si="42"/>
        <v>21.097313</v>
      </c>
      <c r="M477">
        <f t="shared" si="43"/>
        <v>22.663502000000001</v>
      </c>
      <c r="N477">
        <f t="shared" si="44"/>
        <v>22.757254</v>
      </c>
    </row>
    <row r="478" spans="1:14" x14ac:dyDescent="0.2">
      <c r="A478" s="1">
        <v>403</v>
      </c>
      <c r="B478" s="7" t="s">
        <v>419</v>
      </c>
      <c r="C478" s="5" t="s">
        <v>440</v>
      </c>
      <c r="D478" s="8">
        <v>4.0862530000000001</v>
      </c>
      <c r="L478">
        <f t="shared" si="42"/>
        <v>21.097313</v>
      </c>
      <c r="M478">
        <f t="shared" si="43"/>
        <v>22.663502000000001</v>
      </c>
      <c r="N478">
        <f t="shared" si="44"/>
        <v>22.757254</v>
      </c>
    </row>
    <row r="479" spans="1:14" x14ac:dyDescent="0.2">
      <c r="A479" s="1">
        <v>404</v>
      </c>
      <c r="B479" s="7" t="s">
        <v>420</v>
      </c>
      <c r="C479" s="5" t="s">
        <v>440</v>
      </c>
      <c r="D479" s="8">
        <v>4.0712770000000003</v>
      </c>
      <c r="L479">
        <f t="shared" si="42"/>
        <v>21.097313</v>
      </c>
      <c r="M479">
        <f t="shared" si="43"/>
        <v>22.663502000000001</v>
      </c>
      <c r="N479">
        <f t="shared" si="44"/>
        <v>22.757254</v>
      </c>
    </row>
    <row r="480" spans="1:14" x14ac:dyDescent="0.2">
      <c r="A480" s="1">
        <v>405</v>
      </c>
      <c r="B480" s="7" t="s">
        <v>421</v>
      </c>
      <c r="C480" s="5" t="s">
        <v>440</v>
      </c>
      <c r="D480" s="8">
        <v>4.0702629999999997</v>
      </c>
      <c r="L480">
        <f t="shared" si="42"/>
        <v>21.097313</v>
      </c>
      <c r="M480">
        <f t="shared" si="43"/>
        <v>22.663502000000001</v>
      </c>
      <c r="N480">
        <f t="shared" si="44"/>
        <v>22.757254</v>
      </c>
    </row>
    <row r="481" spans="1:14" x14ac:dyDescent="0.2">
      <c r="A481" s="1">
        <v>406</v>
      </c>
      <c r="B481" s="7" t="s">
        <v>422</v>
      </c>
      <c r="C481" s="5" t="s">
        <v>440</v>
      </c>
      <c r="D481" s="8">
        <v>3.9826869999999999</v>
      </c>
      <c r="L481">
        <f t="shared" si="42"/>
        <v>21.097313</v>
      </c>
      <c r="M481">
        <f t="shared" si="43"/>
        <v>22.663502000000001</v>
      </c>
      <c r="N481">
        <f t="shared" si="44"/>
        <v>22.757254</v>
      </c>
    </row>
    <row r="482" spans="1:14" x14ac:dyDescent="0.2">
      <c r="A482" s="1">
        <v>407</v>
      </c>
      <c r="B482" s="7" t="s">
        <v>423</v>
      </c>
      <c r="C482" s="5" t="s">
        <v>440</v>
      </c>
      <c r="D482" s="8">
        <v>3.8282090000000002</v>
      </c>
      <c r="L482">
        <f t="shared" si="42"/>
        <v>21.097313</v>
      </c>
      <c r="M482">
        <f t="shared" si="43"/>
        <v>22.663502000000001</v>
      </c>
      <c r="N482">
        <f t="shared" si="44"/>
        <v>22.757254</v>
      </c>
    </row>
    <row r="483" spans="1:14" x14ac:dyDescent="0.2">
      <c r="A483" s="1">
        <v>408</v>
      </c>
      <c r="B483" s="7" t="s">
        <v>424</v>
      </c>
      <c r="C483" s="5" t="s">
        <v>440</v>
      </c>
      <c r="D483" s="8">
        <v>3.7887650000000002</v>
      </c>
      <c r="L483">
        <f t="shared" si="42"/>
        <v>21.097313</v>
      </c>
      <c r="M483">
        <f t="shared" si="43"/>
        <v>22.663502000000001</v>
      </c>
      <c r="N483">
        <f t="shared" si="44"/>
        <v>22.757254</v>
      </c>
    </row>
    <row r="484" spans="1:14" x14ac:dyDescent="0.2">
      <c r="A484" s="1">
        <v>409</v>
      </c>
      <c r="B484" s="7" t="s">
        <v>425</v>
      </c>
      <c r="C484" s="5" t="s">
        <v>440</v>
      </c>
      <c r="D484" s="8">
        <v>3.6198000000000001</v>
      </c>
      <c r="L484">
        <f t="shared" si="42"/>
        <v>21.097313</v>
      </c>
      <c r="M484">
        <f t="shared" si="43"/>
        <v>22.663502000000001</v>
      </c>
      <c r="N484">
        <f t="shared" si="44"/>
        <v>22.757254</v>
      </c>
    </row>
    <row r="485" spans="1:14" x14ac:dyDescent="0.2">
      <c r="A485" s="1">
        <v>410</v>
      </c>
      <c r="B485" s="7" t="s">
        <v>426</v>
      </c>
      <c r="C485" s="5" t="s">
        <v>440</v>
      </c>
      <c r="D485" s="8">
        <v>3.5455260000000002</v>
      </c>
      <c r="L485">
        <f t="shared" si="42"/>
        <v>21.097313</v>
      </c>
      <c r="M485">
        <f t="shared" si="43"/>
        <v>22.663502000000001</v>
      </c>
      <c r="N485">
        <f t="shared" si="44"/>
        <v>22.757254</v>
      </c>
    </row>
    <row r="486" spans="1:14" x14ac:dyDescent="0.2">
      <c r="A486" s="1">
        <v>411</v>
      </c>
      <c r="B486" s="7" t="s">
        <v>427</v>
      </c>
      <c r="C486" s="5" t="s">
        <v>440</v>
      </c>
      <c r="D486" s="8">
        <v>3.5411549999999998</v>
      </c>
      <c r="L486">
        <f t="shared" si="42"/>
        <v>21.097313</v>
      </c>
      <c r="M486">
        <f t="shared" si="43"/>
        <v>22.663502000000001</v>
      </c>
      <c r="N486">
        <f t="shared" si="44"/>
        <v>22.757254</v>
      </c>
    </row>
    <row r="487" spans="1:14" x14ac:dyDescent="0.2">
      <c r="A487" s="1">
        <v>412</v>
      </c>
      <c r="B487" s="7" t="s">
        <v>428</v>
      </c>
      <c r="C487" s="5" t="s">
        <v>440</v>
      </c>
      <c r="D487" s="8">
        <v>3.4951449999999999</v>
      </c>
      <c r="L487">
        <f t="shared" si="42"/>
        <v>21.097313</v>
      </c>
      <c r="M487">
        <f t="shared" si="43"/>
        <v>22.663502000000001</v>
      </c>
      <c r="N487">
        <f t="shared" si="44"/>
        <v>22.757254</v>
      </c>
    </row>
    <row r="488" spans="1:14" x14ac:dyDescent="0.2">
      <c r="A488" s="1">
        <v>413</v>
      </c>
      <c r="B488" s="7" t="s">
        <v>429</v>
      </c>
      <c r="C488" s="5" t="s">
        <v>440</v>
      </c>
      <c r="D488" s="8">
        <v>3.3193049999999999</v>
      </c>
      <c r="L488">
        <f t="shared" si="42"/>
        <v>21.097313</v>
      </c>
      <c r="M488">
        <f t="shared" si="43"/>
        <v>22.663502000000001</v>
      </c>
      <c r="N488">
        <f t="shared" si="44"/>
        <v>22.757254</v>
      </c>
    </row>
    <row r="489" spans="1:14" x14ac:dyDescent="0.2">
      <c r="A489" s="1">
        <v>414</v>
      </c>
      <c r="B489" s="7" t="s">
        <v>430</v>
      </c>
      <c r="C489" s="5" t="s">
        <v>440</v>
      </c>
      <c r="D489" s="8">
        <v>2.9280729999999999</v>
      </c>
      <c r="L489">
        <f t="shared" si="42"/>
        <v>21.097313</v>
      </c>
      <c r="M489">
        <f t="shared" si="43"/>
        <v>22.663502000000001</v>
      </c>
      <c r="N489">
        <f t="shared" si="44"/>
        <v>22.757254</v>
      </c>
    </row>
    <row r="490" spans="1:14" x14ac:dyDescent="0.2">
      <c r="A490" s="1">
        <v>415</v>
      </c>
      <c r="B490" s="7" t="s">
        <v>431</v>
      </c>
      <c r="C490" s="5" t="s">
        <v>440</v>
      </c>
      <c r="D490" s="8">
        <v>2.8805800000000001</v>
      </c>
      <c r="L490">
        <f t="shared" si="42"/>
        <v>21.097313</v>
      </c>
      <c r="M490">
        <f t="shared" si="43"/>
        <v>22.663502000000001</v>
      </c>
      <c r="N490">
        <f t="shared" si="44"/>
        <v>22.757254</v>
      </c>
    </row>
    <row r="491" spans="1:14" x14ac:dyDescent="0.2">
      <c r="A491" s="1">
        <v>417</v>
      </c>
      <c r="B491" s="7" t="s">
        <v>433</v>
      </c>
      <c r="C491" s="5" t="s">
        <v>440</v>
      </c>
      <c r="D491" s="8">
        <v>0.22600799999999999</v>
      </c>
      <c r="L491">
        <f t="shared" si="42"/>
        <v>21.097313</v>
      </c>
      <c r="M491">
        <f t="shared" si="43"/>
        <v>22.663502000000001</v>
      </c>
      <c r="N491">
        <f t="shared" si="44"/>
        <v>22.757254</v>
      </c>
    </row>
    <row r="492" spans="1:14" x14ac:dyDescent="0.2">
      <c r="A492" s="1">
        <v>418</v>
      </c>
      <c r="B492" s="7" t="s">
        <v>434</v>
      </c>
      <c r="C492" s="5" t="s">
        <v>440</v>
      </c>
      <c r="D492" s="8">
        <v>9.7902000000000003E-2</v>
      </c>
      <c r="L492">
        <f t="shared" si="42"/>
        <v>21.097313</v>
      </c>
      <c r="M492">
        <f t="shared" si="43"/>
        <v>22.663502000000001</v>
      </c>
      <c r="N492">
        <f t="shared" si="44"/>
        <v>22.757254</v>
      </c>
    </row>
    <row r="493" spans="1:14" x14ac:dyDescent="0.2">
      <c r="A493" s="1">
        <v>419</v>
      </c>
      <c r="B493" s="7" t="s">
        <v>435</v>
      </c>
      <c r="C493" s="5" t="s">
        <v>440</v>
      </c>
      <c r="D493" s="8">
        <v>-0.26174199999999997</v>
      </c>
      <c r="L493">
        <f t="shared" si="42"/>
        <v>21.097313</v>
      </c>
      <c r="M493">
        <f t="shared" si="43"/>
        <v>22.663502000000001</v>
      </c>
      <c r="N493">
        <f t="shared" si="44"/>
        <v>22.757254</v>
      </c>
    </row>
    <row r="494" spans="1:14" x14ac:dyDescent="0.2">
      <c r="A494" s="1">
        <v>420</v>
      </c>
      <c r="B494" s="7" t="s">
        <v>436</v>
      </c>
      <c r="C494" s="5" t="s">
        <v>440</v>
      </c>
      <c r="D494" s="8">
        <v>-0.44248900000000002</v>
      </c>
      <c r="L494">
        <f t="shared" si="42"/>
        <v>21.097313</v>
      </c>
      <c r="M494">
        <f t="shared" si="43"/>
        <v>22.663502000000001</v>
      </c>
      <c r="N494">
        <f t="shared" si="44"/>
        <v>22.757254</v>
      </c>
    </row>
    <row r="495" spans="1:14" x14ac:dyDescent="0.2">
      <c r="A495" s="1">
        <v>421</v>
      </c>
      <c r="B495" s="7" t="s">
        <v>437</v>
      </c>
      <c r="C495" s="5" t="s">
        <v>440</v>
      </c>
      <c r="D495" s="8">
        <v>-0.47257900000000003</v>
      </c>
      <c r="L495">
        <f t="shared" si="42"/>
        <v>21.097313</v>
      </c>
      <c r="M495">
        <f t="shared" si="43"/>
        <v>22.663502000000001</v>
      </c>
      <c r="N495">
        <f t="shared" si="44"/>
        <v>22.757254</v>
      </c>
    </row>
    <row r="496" spans="1:14" x14ac:dyDescent="0.2">
      <c r="A496" s="1">
        <v>422</v>
      </c>
      <c r="B496" s="7" t="s">
        <v>438</v>
      </c>
      <c r="C496" s="5" t="s">
        <v>440</v>
      </c>
      <c r="D496" s="8">
        <v>-0.65228900000000001</v>
      </c>
      <c r="L496">
        <f t="shared" si="42"/>
        <v>21.097313</v>
      </c>
      <c r="M496">
        <f t="shared" si="43"/>
        <v>22.663502000000001</v>
      </c>
      <c r="N496">
        <f t="shared" si="44"/>
        <v>22.757254</v>
      </c>
    </row>
    <row r="497" spans="1:14" x14ac:dyDescent="0.2">
      <c r="A497" s="1">
        <v>423</v>
      </c>
      <c r="B497" s="7" t="s">
        <v>439</v>
      </c>
      <c r="C497" s="5" t="s">
        <v>440</v>
      </c>
      <c r="D497" s="8">
        <v>-0.78952100000000003</v>
      </c>
      <c r="L497">
        <f t="shared" si="42"/>
        <v>21.097313</v>
      </c>
      <c r="M497">
        <f t="shared" si="43"/>
        <v>22.663502000000001</v>
      </c>
      <c r="N497">
        <f t="shared" si="44"/>
        <v>22.757254</v>
      </c>
    </row>
  </sheetData>
  <mergeCells count="1">
    <mergeCell ref="W1:X1"/>
  </mergeCells>
  <conditionalFormatting sqref="Q2:U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DC0A-080E-CD44-82A7-5998730E9105}">
  <dimension ref="A1:AT497"/>
  <sheetViews>
    <sheetView topLeftCell="D1" workbookViewId="0">
      <selection activeCell="AE6" sqref="W1:AE6"/>
    </sheetView>
  </sheetViews>
  <sheetFormatPr baseColWidth="10" defaultRowHeight="16" x14ac:dyDescent="0.2"/>
  <cols>
    <col min="1" max="1" width="7.33203125" style="1" bestFit="1" customWidth="1"/>
    <col min="2" max="2" width="107.6640625" style="1" bestFit="1" customWidth="1"/>
    <col min="3" max="3" width="22" style="1" bestFit="1" customWidth="1"/>
    <col min="4" max="4" width="17.6640625" style="1" bestFit="1" customWidth="1"/>
    <col min="5" max="5" width="18.5" style="1" bestFit="1" customWidth="1"/>
    <col min="6" max="6" width="16" bestFit="1" customWidth="1"/>
    <col min="7" max="7" width="20.83203125" style="1" bestFit="1" customWidth="1"/>
    <col min="8" max="10" width="17.6640625" bestFit="1" customWidth="1"/>
    <col min="11" max="11" width="18.83203125" bestFit="1" customWidth="1"/>
    <col min="12" max="12" width="25.1640625" bestFit="1" customWidth="1"/>
    <col min="13" max="14" width="25.1640625" customWidth="1"/>
    <col min="15" max="17" width="19.1640625" bestFit="1" customWidth="1"/>
    <col min="18" max="18" width="20.33203125" bestFit="1" customWidth="1"/>
    <col min="19" max="19" width="25.1640625" bestFit="1" customWidth="1"/>
    <col min="20" max="21" width="25.1640625" customWidth="1"/>
    <col min="23" max="23" width="13.33203125" style="1" bestFit="1" customWidth="1"/>
    <col min="24" max="24" width="10.83203125" style="1" bestFit="1" customWidth="1"/>
    <col min="25" max="27" width="19.1640625" style="1" bestFit="1" customWidth="1"/>
    <col min="28" max="28" width="20.33203125" style="1" bestFit="1" customWidth="1"/>
    <col min="29" max="29" width="24.83203125" style="1" bestFit="1" customWidth="1"/>
    <col min="30" max="30" width="27.5" style="1" bestFit="1" customWidth="1"/>
    <col min="31" max="31" width="28.6640625" style="1" bestFit="1" customWidth="1"/>
    <col min="32" max="32" width="18.6640625" style="1" customWidth="1"/>
    <col min="33" max="33" width="8.1640625" style="1" bestFit="1" customWidth="1"/>
    <col min="35" max="36" width="14.1640625" bestFit="1" customWidth="1"/>
    <col min="37" max="37" width="23.5" bestFit="1" customWidth="1"/>
    <col min="39" max="39" width="17.6640625" bestFit="1" customWidth="1"/>
    <col min="40" max="40" width="20.83203125" bestFit="1" customWidth="1"/>
    <col min="41" max="41" width="20.33203125" bestFit="1" customWidth="1"/>
  </cols>
  <sheetData>
    <row r="1" spans="1:46" x14ac:dyDescent="0.2">
      <c r="A1" s="3" t="s">
        <v>14</v>
      </c>
      <c r="B1" s="3" t="s">
        <v>451</v>
      </c>
      <c r="C1" s="3" t="s">
        <v>450</v>
      </c>
      <c r="D1" s="3" t="s">
        <v>475</v>
      </c>
      <c r="E1" s="3" t="s">
        <v>449</v>
      </c>
      <c r="F1" s="3" t="s">
        <v>448</v>
      </c>
      <c r="G1" s="3" t="s">
        <v>452</v>
      </c>
      <c r="H1" s="4" t="s">
        <v>474</v>
      </c>
      <c r="I1" s="4" t="s">
        <v>481</v>
      </c>
      <c r="J1" s="4" t="s">
        <v>482</v>
      </c>
      <c r="K1" s="4" t="s">
        <v>483</v>
      </c>
      <c r="L1" s="4" t="s">
        <v>487</v>
      </c>
      <c r="M1" s="4" t="s">
        <v>488</v>
      </c>
      <c r="N1" s="4" t="s">
        <v>489</v>
      </c>
      <c r="O1" s="24" t="s">
        <v>473</v>
      </c>
      <c r="P1" s="25" t="s">
        <v>484</v>
      </c>
      <c r="Q1" s="25" t="s">
        <v>485</v>
      </c>
      <c r="R1" s="25" t="s">
        <v>486</v>
      </c>
      <c r="S1" s="25" t="s">
        <v>490</v>
      </c>
      <c r="T1" s="25" t="s">
        <v>491</v>
      </c>
      <c r="U1" s="25" t="s">
        <v>492</v>
      </c>
      <c r="W1" s="3" t="s">
        <v>480</v>
      </c>
      <c r="X1" s="3" t="s">
        <v>479</v>
      </c>
      <c r="Y1" s="3" t="str">
        <f t="shared" ref="Y1:AE1" si="0">O1</f>
        <v>∆∆G - 0k_Proteins</v>
      </c>
      <c r="Z1" s="3" t="str">
        <f t="shared" si="0"/>
        <v>∆∆G - 1k_Proteins</v>
      </c>
      <c r="AA1" s="3" t="str">
        <f t="shared" si="0"/>
        <v>∆∆G - 5k_Proteins</v>
      </c>
      <c r="AB1" s="3" t="str">
        <f t="shared" si="0"/>
        <v>∆∆G - 10k_Proteins</v>
      </c>
      <c r="AC1" s="3" t="str">
        <f t="shared" si="0"/>
        <v>∆∆G - 5k_Proteins+12_phi</v>
      </c>
      <c r="AD1" s="3" t="str">
        <f t="shared" si="0"/>
        <v>∆∆G - 10k_Proteins+12_phi</v>
      </c>
      <c r="AE1" s="3" t="str">
        <f t="shared" si="0"/>
        <v>∆∆G - 100k_Proteins+12_phi</v>
      </c>
      <c r="AF1" s="3"/>
      <c r="AG1" s="3"/>
      <c r="AI1" s="3"/>
      <c r="AJ1" s="28" t="s">
        <v>478</v>
      </c>
      <c r="AK1" s="28"/>
      <c r="AM1" s="3" t="s">
        <v>475</v>
      </c>
      <c r="AN1" s="3" t="s">
        <v>452</v>
      </c>
      <c r="AO1" s="25" t="s">
        <v>486</v>
      </c>
    </row>
    <row r="2" spans="1:46" x14ac:dyDescent="0.2">
      <c r="A2" s="1">
        <v>0</v>
      </c>
      <c r="B2" s="17" t="s">
        <v>453</v>
      </c>
      <c r="C2" s="17" t="s">
        <v>472</v>
      </c>
      <c r="D2" s="17" t="s">
        <v>477</v>
      </c>
      <c r="E2" s="18" cm="1">
        <f t="array" aca="1" ref="E2" ca="1">SUMPRODUCT((MID($B$2,ROW(INDIRECT("1:"&amp;LEN($B$2))),1)&lt;&gt;MID(B2,ROW(INDIRECT("1:"&amp;LEN($B$2))),1))*1)</f>
        <v>0</v>
      </c>
      <c r="F2" cm="1">
        <f t="array" aca="1" ref="F2" ca="1">SUMPRODUCT((MID($C$2,ROW(INDIRECT("1:"&amp;LEN($C$2))),1)&lt;&gt;MID(C2,ROW(INDIRECT("1:"&amp;LEN($C$2))),1))*1)</f>
        <v>0</v>
      </c>
      <c r="G2" s="19">
        <v>0</v>
      </c>
      <c r="H2" s="1">
        <v>-30.202529999999999</v>
      </c>
      <c r="I2" s="1">
        <v>-24.998048000000001</v>
      </c>
      <c r="J2" s="1">
        <v>-23.553550000000001</v>
      </c>
      <c r="K2" s="26">
        <v>-24.078389000000001</v>
      </c>
      <c r="L2" s="1">
        <v>-20.977409000000002</v>
      </c>
      <c r="M2" s="1">
        <v>-25.227954</v>
      </c>
      <c r="N2" s="1">
        <v>-59.516922000000001</v>
      </c>
      <c r="O2" s="1">
        <f>H2-H$2</f>
        <v>0</v>
      </c>
      <c r="P2" s="1">
        <f>I2-I$2</f>
        <v>0</v>
      </c>
      <c r="Q2" s="1">
        <f>J2-J$2</f>
        <v>0</v>
      </c>
      <c r="R2" s="1">
        <f>K2-K$2</f>
        <v>0</v>
      </c>
      <c r="S2" s="1">
        <f t="shared" ref="S2:U20" si="1">L2-L$2</f>
        <v>0</v>
      </c>
      <c r="T2" s="1">
        <f t="shared" si="1"/>
        <v>0</v>
      </c>
      <c r="U2" s="1">
        <f t="shared" si="1"/>
        <v>0</v>
      </c>
      <c r="W2" s="2">
        <v>0.3</v>
      </c>
      <c r="X2" s="22">
        <f>SUM( COUNTIF(D$2:D$20,W2))</f>
        <v>3</v>
      </c>
      <c r="Y2" s="23">
        <v>0.95667249308710933</v>
      </c>
      <c r="Z2" s="23">
        <v>0.98005418037568037</v>
      </c>
      <c r="AA2" s="23">
        <v>0.98005418037568037</v>
      </c>
      <c r="AB2" s="23">
        <v>0.92224385093209083</v>
      </c>
      <c r="AC2" s="23">
        <v>0.40548978925689061</v>
      </c>
      <c r="AD2" s="23">
        <v>0.58962358106372748</v>
      </c>
      <c r="AE2" s="23">
        <v>0.80277730897970756</v>
      </c>
      <c r="AF2" s="23"/>
      <c r="AG2" s="23">
        <f>PEARSON(AN2:AN4,AO2:AO4)</f>
        <v>0.80277730897970756</v>
      </c>
      <c r="AJ2" t="s">
        <v>1</v>
      </c>
      <c r="AK2" s="1" t="s">
        <v>2</v>
      </c>
      <c r="AM2" s="1">
        <v>0.3</v>
      </c>
      <c r="AN2" s="20">
        <v>1.62483</v>
      </c>
      <c r="AO2" s="1">
        <v>2.8397790000000001</v>
      </c>
      <c r="AR2" s="17" t="s">
        <v>477</v>
      </c>
      <c r="AS2" s="19">
        <v>0</v>
      </c>
      <c r="AT2" s="1">
        <v>0</v>
      </c>
    </row>
    <row r="3" spans="1:46" x14ac:dyDescent="0.2">
      <c r="A3" s="1">
        <v>1</v>
      </c>
      <c r="B3" s="1" t="s">
        <v>454</v>
      </c>
      <c r="C3" s="1" t="s">
        <v>472</v>
      </c>
      <c r="D3" s="1">
        <v>0.7</v>
      </c>
      <c r="E3" s="18" cm="1">
        <f t="array" aca="1" ref="E3" ca="1">SUMPRODUCT((MID($B$2,ROW(INDIRECT("1:"&amp;LEN($B$2))),1)&lt;&gt;MID(B3,ROW(INDIRECT("1:"&amp;LEN($B$2))),1))*1)</f>
        <v>1</v>
      </c>
      <c r="F3" cm="1">
        <f t="array" aca="1" ref="F3" ca="1">SUMPRODUCT((MID($C$2,ROW(INDIRECT("1:"&amp;LEN($C$2))),1)&lt;&gt;MID(C3,ROW(INDIRECT("1:"&amp;LEN($C$2))),1))*1)</f>
        <v>0</v>
      </c>
      <c r="G3" s="20">
        <v>0.83177699999999999</v>
      </c>
      <c r="H3" s="1">
        <v>-30.202529999999999</v>
      </c>
      <c r="I3" s="1">
        <v>-24.998048000000001</v>
      </c>
      <c r="J3" s="1">
        <v>-23.553550000000001</v>
      </c>
      <c r="K3" s="1">
        <v>-24.078389000000001</v>
      </c>
      <c r="L3" s="1">
        <v>-20.979865</v>
      </c>
      <c r="M3" s="1">
        <v>-25.230498000000001</v>
      </c>
      <c r="N3" s="1">
        <v>-59.518687</v>
      </c>
      <c r="O3" s="1">
        <f>H3-H$2</f>
        <v>0</v>
      </c>
      <c r="P3" s="1">
        <f t="shared" ref="P3:Q20" si="2">I3-I$2</f>
        <v>0</v>
      </c>
      <c r="Q3" s="1">
        <f t="shared" si="2"/>
        <v>0</v>
      </c>
      <c r="R3" s="1">
        <f t="shared" ref="R3:R20" si="3">K3-K$2</f>
        <v>0</v>
      </c>
      <c r="S3" s="1">
        <f t="shared" si="1"/>
        <v>-2.4559999999986815E-3</v>
      </c>
      <c r="T3" s="1">
        <f t="shared" si="1"/>
        <v>-2.5440000000003238E-3</v>
      </c>
      <c r="U3" s="1">
        <f t="shared" si="1"/>
        <v>-1.7649999999989063E-3</v>
      </c>
      <c r="W3" s="2">
        <v>0.4</v>
      </c>
      <c r="X3" s="22" cm="1">
        <f t="array" ref="X3">SUM( COUNTIF(D$2:D$20,W2:W3))</f>
        <v>13</v>
      </c>
      <c r="Y3" s="23">
        <v>-0.12193858270605665</v>
      </c>
      <c r="Z3" s="23">
        <v>-2.0903712360277091E-2</v>
      </c>
      <c r="AA3" s="23">
        <v>-2.0903712360277091E-2</v>
      </c>
      <c r="AB3" s="23">
        <v>-9.9585999926135482E-2</v>
      </c>
      <c r="AC3" s="23">
        <v>-0.23726920977285382</v>
      </c>
      <c r="AD3" s="23">
        <v>-0.25642209223841095</v>
      </c>
      <c r="AE3" s="23">
        <v>-0.25981088884049613</v>
      </c>
      <c r="AF3" s="23"/>
      <c r="AG3" s="23">
        <f>PEARSON(AN2:AN14,AO2:AO14)</f>
        <v>-0.25981088884049613</v>
      </c>
      <c r="AJ3" t="s">
        <v>3</v>
      </c>
      <c r="AK3" s="1" t="s">
        <v>4</v>
      </c>
      <c r="AM3" s="1">
        <v>0.3</v>
      </c>
      <c r="AN3" s="20">
        <v>0.41588799999999998</v>
      </c>
      <c r="AO3" s="1">
        <v>-0.34416000000000224</v>
      </c>
      <c r="AR3" s="1">
        <v>0.7</v>
      </c>
      <c r="AS3" s="20">
        <v>0.83177699999999999</v>
      </c>
      <c r="AT3" s="1">
        <v>-1.7649999999989063E-3</v>
      </c>
    </row>
    <row r="4" spans="1:46" x14ac:dyDescent="0.2">
      <c r="A4" s="1">
        <v>2</v>
      </c>
      <c r="B4" s="1" t="s">
        <v>455</v>
      </c>
      <c r="C4" s="1" t="s">
        <v>472</v>
      </c>
      <c r="D4" s="1">
        <v>0.95</v>
      </c>
      <c r="E4" s="18" cm="1">
        <f t="array" aca="1" ref="E4" ca="1">SUMPRODUCT((MID($B$2,ROW(INDIRECT("1:"&amp;LEN($B$2))),1)&lt;&gt;MID(B4,ROW(INDIRECT("1:"&amp;LEN($B$2))),1))*1)</f>
        <v>1</v>
      </c>
      <c r="F4" cm="1">
        <f t="array" aca="1" ref="F4" ca="1">SUMPRODUCT((MID($C$2,ROW(INDIRECT("1:"&amp;LEN($C$2))),1)&lt;&gt;MID(C4,ROW(INDIRECT("1:"&amp;LEN($C$2))),1))*1)</f>
        <v>0</v>
      </c>
      <c r="G4" s="20">
        <v>0</v>
      </c>
      <c r="H4" s="1">
        <v>-30.202529999999999</v>
      </c>
      <c r="I4" s="1">
        <v>-24.998048000000001</v>
      </c>
      <c r="J4" s="1">
        <v>-23.553550000000001</v>
      </c>
      <c r="K4" s="1">
        <v>-24.078389000000001</v>
      </c>
      <c r="L4" s="1">
        <v>-20.977409000000002</v>
      </c>
      <c r="M4" s="1">
        <v>-25.227954</v>
      </c>
      <c r="N4" s="1">
        <v>-59.516922000000001</v>
      </c>
      <c r="O4" s="1">
        <f>H4-H$2</f>
        <v>0</v>
      </c>
      <c r="P4" s="1">
        <f t="shared" si="2"/>
        <v>0</v>
      </c>
      <c r="Q4" s="1">
        <f t="shared" si="2"/>
        <v>0</v>
      </c>
      <c r="R4" s="1">
        <f t="shared" si="3"/>
        <v>0</v>
      </c>
      <c r="S4" s="1">
        <f t="shared" si="1"/>
        <v>0</v>
      </c>
      <c r="T4" s="1">
        <f t="shared" si="1"/>
        <v>0</v>
      </c>
      <c r="U4" s="1">
        <f t="shared" si="1"/>
        <v>0</v>
      </c>
      <c r="W4" s="2">
        <v>0.5</v>
      </c>
      <c r="X4" s="22" cm="1">
        <f t="array" ref="X4">SUM( COUNTIF(D$2:D$20,W2:W4))</f>
        <v>13</v>
      </c>
      <c r="Y4" s="23">
        <v>-0.12193858270605665</v>
      </c>
      <c r="Z4" s="23">
        <v>-2.0903712360277091E-2</v>
      </c>
      <c r="AA4" s="23">
        <v>-2.0903712360277091E-2</v>
      </c>
      <c r="AB4" s="23">
        <v>-9.9585999926135482E-2</v>
      </c>
      <c r="AC4" s="23">
        <v>-0.23726920977285382</v>
      </c>
      <c r="AD4" s="23">
        <v>-0.25642209223841095</v>
      </c>
      <c r="AE4" s="23">
        <v>-0.25981088884049613</v>
      </c>
      <c r="AF4" s="23"/>
      <c r="AG4" s="23">
        <f>PEARSON(AN2:AN14,AO2:AO14)</f>
        <v>-0.25981088884049613</v>
      </c>
      <c r="AJ4" t="s">
        <v>5</v>
      </c>
      <c r="AK4" s="1" t="s">
        <v>6</v>
      </c>
      <c r="AM4" s="1">
        <v>0.3</v>
      </c>
      <c r="AN4" s="20">
        <v>0.65916699999999995</v>
      </c>
      <c r="AO4" s="1">
        <v>2.1209169999999986</v>
      </c>
      <c r="AR4" s="1">
        <v>0.95</v>
      </c>
      <c r="AS4" s="20">
        <v>0</v>
      </c>
      <c r="AT4" s="1">
        <v>0</v>
      </c>
    </row>
    <row r="5" spans="1:46" x14ac:dyDescent="0.2">
      <c r="A5" s="1">
        <v>3</v>
      </c>
      <c r="B5" s="1" t="s">
        <v>456</v>
      </c>
      <c r="C5" s="1" t="s">
        <v>472</v>
      </c>
      <c r="D5" s="1">
        <v>0.4</v>
      </c>
      <c r="E5" s="18" cm="1">
        <f t="array" aca="1" ref="E5" ca="1">SUMPRODUCT((MID($B$2,ROW(INDIRECT("1:"&amp;LEN($B$2))),1)&lt;&gt;MID(B5,ROW(INDIRECT("1:"&amp;LEN($B$2))),1))*1)</f>
        <v>1</v>
      </c>
      <c r="F5" cm="1">
        <f t="array" aca="1" ref="F5" ca="1">SUMPRODUCT((MID($C$2,ROW(INDIRECT("1:"&amp;LEN($C$2))),1)&lt;&gt;MID(C5,ROW(INDIRECT("1:"&amp;LEN($C$2))),1))*1)</f>
        <v>0</v>
      </c>
      <c r="G5" s="20">
        <v>1.931325</v>
      </c>
      <c r="H5" s="1">
        <v>-30.207214</v>
      </c>
      <c r="I5" s="1">
        <v>-24.871535000000002</v>
      </c>
      <c r="J5" s="1">
        <v>-23.497734999999999</v>
      </c>
      <c r="K5" s="1">
        <v>-24.027460999999999</v>
      </c>
      <c r="L5" s="1">
        <v>-20.988198000000001</v>
      </c>
      <c r="M5" s="1">
        <v>-25.212133999999999</v>
      </c>
      <c r="N5" s="1">
        <v>-59.448681000000001</v>
      </c>
      <c r="O5" s="1">
        <f t="shared" ref="O5:O20" si="4">H5-H$2</f>
        <v>-4.6840000000010207E-3</v>
      </c>
      <c r="P5" s="1">
        <f t="shared" si="2"/>
        <v>0.12651299999999921</v>
      </c>
      <c r="Q5" s="1">
        <f t="shared" si="2"/>
        <v>5.5815000000002613E-2</v>
      </c>
      <c r="R5" s="1">
        <f t="shared" si="3"/>
        <v>5.0928000000002527E-2</v>
      </c>
      <c r="S5" s="1">
        <f t="shared" si="1"/>
        <v>-1.0788999999999049E-2</v>
      </c>
      <c r="T5" s="1">
        <f t="shared" si="1"/>
        <v>1.58200000000015E-2</v>
      </c>
      <c r="U5" s="1">
        <f t="shared" si="1"/>
        <v>6.824100000000044E-2</v>
      </c>
      <c r="W5" s="2">
        <v>0.7</v>
      </c>
      <c r="X5" s="22" cm="1">
        <f t="array" ref="X5">SUM(COUNTIF(D$2:D$20, W2:W5))</f>
        <v>14</v>
      </c>
      <c r="Y5" s="23">
        <v>-0.1095489941867423</v>
      </c>
      <c r="Z5" s="23">
        <v>-1.0687629367731502E-2</v>
      </c>
      <c r="AA5" s="23">
        <v>-1.0687629367731502E-2</v>
      </c>
      <c r="AB5" s="23">
        <v>-8.6243202016702478E-2</v>
      </c>
      <c r="AC5" s="23">
        <v>-0.21672100167324179</v>
      </c>
      <c r="AD5" s="23">
        <v>-0.23437917869340241</v>
      </c>
      <c r="AE5" s="23">
        <v>-0.23765095471156178</v>
      </c>
      <c r="AF5" s="23"/>
      <c r="AG5" s="23">
        <f>PEARSON(AN2:AN15,AO2:AO15)</f>
        <v>-0.23765095471156178</v>
      </c>
      <c r="AJ5" t="s">
        <v>7</v>
      </c>
      <c r="AK5" s="1" t="s">
        <v>8</v>
      </c>
      <c r="AM5" s="1">
        <v>0.4</v>
      </c>
      <c r="AN5" s="20">
        <v>1.931325</v>
      </c>
      <c r="AO5" s="1">
        <v>6.824100000000044E-2</v>
      </c>
      <c r="AR5" s="1">
        <v>0.4</v>
      </c>
      <c r="AS5" s="20">
        <v>1.931325</v>
      </c>
      <c r="AT5" s="1">
        <v>6.824100000000044E-2</v>
      </c>
    </row>
    <row r="6" spans="1:46" x14ac:dyDescent="0.2">
      <c r="A6" s="1">
        <v>4</v>
      </c>
      <c r="B6" s="1" t="s">
        <v>457</v>
      </c>
      <c r="C6" s="1" t="s">
        <v>472</v>
      </c>
      <c r="D6" s="1">
        <v>0.3</v>
      </c>
      <c r="E6" s="18" cm="1">
        <f t="array" aca="1" ref="E6" ca="1">SUMPRODUCT((MID($B$2,ROW(INDIRECT("1:"&amp;LEN($B$2))),1)&lt;&gt;MID(B6,ROW(INDIRECT("1:"&amp;LEN($B$2))),1))*1)</f>
        <v>1</v>
      </c>
      <c r="F6" cm="1">
        <f t="array" aca="1" ref="F6" ca="1">SUMPRODUCT((MID($C$2,ROW(INDIRECT("1:"&amp;LEN($C$2))),1)&lt;&gt;MID(C6,ROW(INDIRECT("1:"&amp;LEN($C$2))),1))*1)</f>
        <v>0</v>
      </c>
      <c r="G6" s="20">
        <v>1.62483</v>
      </c>
      <c r="H6" s="1">
        <v>-26.746582</v>
      </c>
      <c r="I6" s="1">
        <v>-23.327119</v>
      </c>
      <c r="J6" s="1">
        <v>-22.310700000000001</v>
      </c>
      <c r="K6" s="1">
        <v>-23.102584</v>
      </c>
      <c r="L6" s="1">
        <v>-20.116043000000001</v>
      </c>
      <c r="M6" s="1">
        <v>-24.092022</v>
      </c>
      <c r="N6" s="1">
        <v>-56.677143000000001</v>
      </c>
      <c r="O6" s="1">
        <f t="shared" si="4"/>
        <v>3.4559479999999994</v>
      </c>
      <c r="P6" s="1">
        <f t="shared" si="2"/>
        <v>1.670929000000001</v>
      </c>
      <c r="Q6" s="1">
        <f t="shared" si="2"/>
        <v>1.2428500000000007</v>
      </c>
      <c r="R6" s="1">
        <f t="shared" si="3"/>
        <v>0.97580500000000114</v>
      </c>
      <c r="S6" s="1">
        <f t="shared" si="1"/>
        <v>0.8613660000000003</v>
      </c>
      <c r="T6" s="1">
        <f t="shared" si="1"/>
        <v>1.1359320000000004</v>
      </c>
      <c r="U6" s="1">
        <f t="shared" si="1"/>
        <v>2.8397790000000001</v>
      </c>
      <c r="W6" s="2">
        <v>0.95</v>
      </c>
      <c r="X6" s="22" cm="1">
        <f t="array" ref="X6">SUM(COUNTIF(D$2:D$20, W2:W6))</f>
        <v>17</v>
      </c>
      <c r="Y6" s="23">
        <v>-3.2264744201643443E-2</v>
      </c>
      <c r="Z6" s="23">
        <v>5.8788329951248726E-2</v>
      </c>
      <c r="AA6" s="23">
        <v>5.8788329951248726E-2</v>
      </c>
      <c r="AB6" s="23">
        <v>-4.2544626095402755E-3</v>
      </c>
      <c r="AC6" s="23">
        <v>-0.11041569623842849</v>
      </c>
      <c r="AD6" s="23">
        <v>-0.12351885250793528</v>
      </c>
      <c r="AE6" s="23">
        <v>-0.12622163146415227</v>
      </c>
      <c r="AF6" s="23"/>
      <c r="AG6" s="23">
        <f>PEARSON(AN2:AN18,AO2:AO18)</f>
        <v>-0.12622163146415227</v>
      </c>
      <c r="AJ6" t="s">
        <v>9</v>
      </c>
      <c r="AK6" s="1" t="s">
        <v>10</v>
      </c>
      <c r="AM6" s="1">
        <v>0.4</v>
      </c>
      <c r="AN6" s="20">
        <v>0.41588799999999998</v>
      </c>
      <c r="AO6" s="1">
        <v>2.5611000000000033</v>
      </c>
      <c r="AR6" s="1">
        <v>0.3</v>
      </c>
      <c r="AS6" s="20">
        <v>1.62483</v>
      </c>
      <c r="AT6" s="1">
        <v>2.8397790000000001</v>
      </c>
    </row>
    <row r="7" spans="1:46" x14ac:dyDescent="0.2">
      <c r="A7" s="1">
        <v>5</v>
      </c>
      <c r="B7" s="1" t="s">
        <v>458</v>
      </c>
      <c r="C7" s="1" t="s">
        <v>472</v>
      </c>
      <c r="D7" s="1">
        <v>0.95</v>
      </c>
      <c r="E7" s="18" cm="1">
        <f t="array" aca="1" ref="E7" ca="1">SUMPRODUCT((MID($B$2,ROW(INDIRECT("1:"&amp;LEN($B$2))),1)&lt;&gt;MID(B7,ROW(INDIRECT("1:"&amp;LEN($B$2))),1))*1)</f>
        <v>1</v>
      </c>
      <c r="F7" cm="1">
        <f t="array" aca="1" ref="F7" ca="1">SUMPRODUCT((MID($C$2,ROW(INDIRECT("1:"&amp;LEN($C$2))),1)&lt;&gt;MID(C7,ROW(INDIRECT("1:"&amp;LEN($C$2))),1))*1)</f>
        <v>0</v>
      </c>
      <c r="G7" s="20">
        <v>0.96566300000000005</v>
      </c>
      <c r="H7" s="1">
        <v>-30.208192</v>
      </c>
      <c r="I7" s="1">
        <v>-24.997800999999999</v>
      </c>
      <c r="J7" s="1">
        <v>-23.553442</v>
      </c>
      <c r="K7" s="1">
        <v>-24.078296999999999</v>
      </c>
      <c r="L7" s="1">
        <v>-20.939862999999999</v>
      </c>
      <c r="M7" s="1">
        <v>-25.181826999999998</v>
      </c>
      <c r="N7" s="1">
        <v>-59.374017000000002</v>
      </c>
      <c r="O7" s="1">
        <f t="shared" si="4"/>
        <v>-5.6620000000009441E-3</v>
      </c>
      <c r="P7" s="1">
        <f t="shared" si="2"/>
        <v>2.4700000000166256E-4</v>
      </c>
      <c r="Q7" s="1">
        <f t="shared" si="2"/>
        <v>1.0800000000088517E-4</v>
      </c>
      <c r="R7" s="1">
        <f t="shared" si="3"/>
        <v>9.2000000002201432E-5</v>
      </c>
      <c r="S7" s="1">
        <f t="shared" si="1"/>
        <v>3.7546000000002522E-2</v>
      </c>
      <c r="T7" s="1">
        <f t="shared" si="1"/>
        <v>4.6127000000002027E-2</v>
      </c>
      <c r="U7" s="1">
        <f t="shared" si="1"/>
        <v>0.14290499999999895</v>
      </c>
      <c r="AJ7" t="s">
        <v>11</v>
      </c>
      <c r="AK7" s="1" t="s">
        <v>12</v>
      </c>
      <c r="AM7" s="1">
        <v>0.4</v>
      </c>
      <c r="AN7" s="20">
        <v>1.318335</v>
      </c>
      <c r="AO7" s="1">
        <v>1.7581500000000005</v>
      </c>
      <c r="AR7" s="1">
        <v>0.95</v>
      </c>
      <c r="AS7" s="20">
        <v>0.96566300000000005</v>
      </c>
      <c r="AT7" s="1">
        <v>0.14290499999999895</v>
      </c>
    </row>
    <row r="8" spans="1:46" x14ac:dyDescent="0.2">
      <c r="A8" s="1">
        <v>6</v>
      </c>
      <c r="B8" s="1" t="s">
        <v>459</v>
      </c>
      <c r="C8" s="1" t="s">
        <v>472</v>
      </c>
      <c r="D8" s="1">
        <v>0.3</v>
      </c>
      <c r="E8" s="18" cm="1">
        <f t="array" aca="1" ref="E8" ca="1">SUMPRODUCT((MID($B$2,ROW(INDIRECT("1:"&amp;LEN($B$2))),1)&lt;&gt;MID(B8,ROW(INDIRECT("1:"&amp;LEN($B$2))),1))*1)</f>
        <v>1</v>
      </c>
      <c r="F8" cm="1">
        <f t="array" aca="1" ref="F8" ca="1">SUMPRODUCT((MID($C$2,ROW(INDIRECT("1:"&amp;LEN($C$2))),1)&lt;&gt;MID(C8,ROW(INDIRECT("1:"&amp;LEN($C$2))),1))*1)</f>
        <v>0</v>
      </c>
      <c r="G8" s="20">
        <v>0.41588799999999998</v>
      </c>
      <c r="H8" s="1">
        <v>-30.344996999999999</v>
      </c>
      <c r="I8" s="1">
        <v>-25.091155000000001</v>
      </c>
      <c r="J8" s="1">
        <v>-23.615714000000001</v>
      </c>
      <c r="K8" s="1">
        <v>-24.127592</v>
      </c>
      <c r="L8" s="1">
        <v>-21.128895</v>
      </c>
      <c r="M8" s="1">
        <v>-25.391918</v>
      </c>
      <c r="N8" s="1">
        <v>-59.861082000000003</v>
      </c>
      <c r="O8" s="1">
        <f t="shared" si="4"/>
        <v>-0.1424669999999999</v>
      </c>
      <c r="P8" s="1">
        <f t="shared" si="2"/>
        <v>-9.3106999999999829E-2</v>
      </c>
      <c r="Q8" s="1">
        <f t="shared" si="2"/>
        <v>-6.216399999999922E-2</v>
      </c>
      <c r="R8" s="1">
        <f t="shared" si="3"/>
        <v>-4.9202999999998553E-2</v>
      </c>
      <c r="S8" s="1">
        <f t="shared" si="1"/>
        <v>-0.15148599999999846</v>
      </c>
      <c r="T8" s="1">
        <f t="shared" si="1"/>
        <v>-0.163964</v>
      </c>
      <c r="U8" s="1">
        <f t="shared" si="1"/>
        <v>-0.34416000000000224</v>
      </c>
      <c r="AJ8" t="s">
        <v>13</v>
      </c>
      <c r="AK8" s="1">
        <v>25</v>
      </c>
      <c r="AM8" s="1">
        <v>0.4</v>
      </c>
      <c r="AN8" s="20">
        <v>0.41588799999999998</v>
      </c>
      <c r="AO8" s="1">
        <v>3.4050500000000028</v>
      </c>
      <c r="AR8" s="1">
        <v>0.3</v>
      </c>
      <c r="AS8" s="20">
        <v>0.41588799999999998</v>
      </c>
      <c r="AT8" s="1">
        <v>-0.34416000000000224</v>
      </c>
    </row>
    <row r="9" spans="1:46" x14ac:dyDescent="0.2">
      <c r="A9" s="1">
        <v>7</v>
      </c>
      <c r="B9" s="1" t="s">
        <v>460</v>
      </c>
      <c r="C9" s="1" t="s">
        <v>472</v>
      </c>
      <c r="D9" s="21" t="s">
        <v>476</v>
      </c>
      <c r="E9" s="18" cm="1">
        <f t="array" aca="1" ref="E9" ca="1">SUMPRODUCT((MID($B$2,ROW(INDIRECT("1:"&amp;LEN($B$2))),1)&lt;&gt;MID(B9,ROW(INDIRECT("1:"&amp;LEN($B$2))),1))*1)</f>
        <v>1</v>
      </c>
      <c r="F9" cm="1">
        <f t="array" aca="1" ref="F9" ca="1">SUMPRODUCT((MID($C$2,ROW(INDIRECT("1:"&amp;LEN($C$2))),1)&lt;&gt;MID(C9,ROW(INDIRECT("1:"&amp;LEN($C$2))),1))*1)</f>
        <v>0</v>
      </c>
      <c r="G9" s="20">
        <v>0</v>
      </c>
      <c r="H9" s="1">
        <v>-30.202529999999999</v>
      </c>
      <c r="I9" s="1">
        <v>-24.998048000000001</v>
      </c>
      <c r="J9" s="1">
        <v>-23.553550000000001</v>
      </c>
      <c r="K9" s="1">
        <v>-24.078389000000001</v>
      </c>
      <c r="L9" s="1">
        <v>-20.977409000000002</v>
      </c>
      <c r="M9" s="1">
        <v>-25.227954</v>
      </c>
      <c r="N9" s="1">
        <v>-59.516922000000001</v>
      </c>
      <c r="O9" s="1">
        <f t="shared" si="4"/>
        <v>0</v>
      </c>
      <c r="P9" s="1">
        <f t="shared" si="2"/>
        <v>0</v>
      </c>
      <c r="Q9" s="1">
        <f t="shared" si="2"/>
        <v>0</v>
      </c>
      <c r="R9" s="1">
        <f t="shared" si="3"/>
        <v>0</v>
      </c>
      <c r="S9" s="1">
        <f t="shared" si="1"/>
        <v>0</v>
      </c>
      <c r="T9" s="1">
        <f t="shared" si="1"/>
        <v>0</v>
      </c>
      <c r="U9" s="1">
        <f t="shared" si="1"/>
        <v>0</v>
      </c>
      <c r="AM9" s="1">
        <v>0.4</v>
      </c>
      <c r="AN9" s="20">
        <v>0</v>
      </c>
      <c r="AO9" s="1">
        <v>3.7602609999999999</v>
      </c>
      <c r="AR9" s="21" t="s">
        <v>476</v>
      </c>
      <c r="AS9" s="20">
        <v>0</v>
      </c>
      <c r="AT9" s="1">
        <v>0</v>
      </c>
    </row>
    <row r="10" spans="1:46" x14ac:dyDescent="0.2">
      <c r="A10" s="1">
        <v>8</v>
      </c>
      <c r="B10" s="1" t="s">
        <v>461</v>
      </c>
      <c r="C10" s="1" t="s">
        <v>472</v>
      </c>
      <c r="D10" s="1">
        <v>0.4</v>
      </c>
      <c r="E10" s="18" cm="1">
        <f t="array" aca="1" ref="E10" ca="1">SUMPRODUCT((MID($B$2,ROW(INDIRECT("1:"&amp;LEN($B$2))),1)&lt;&gt;MID(B10,ROW(INDIRECT("1:"&amp;LEN($B$2))),1))*1)</f>
        <v>1</v>
      </c>
      <c r="F10" cm="1">
        <f t="array" aca="1" ref="F10" ca="1">SUMPRODUCT((MID($C$2,ROW(INDIRECT("1:"&amp;LEN($C$2))),1)&lt;&gt;MID(C10,ROW(INDIRECT("1:"&amp;LEN($C$2))),1))*1)</f>
        <v>0</v>
      </c>
      <c r="G10" s="20">
        <v>0.41588799999999998</v>
      </c>
      <c r="H10" s="1">
        <v>-19.521704</v>
      </c>
      <c r="I10" s="1">
        <v>-21.801594999999999</v>
      </c>
      <c r="J10" s="1">
        <v>-21.195761000000001</v>
      </c>
      <c r="K10" s="1">
        <v>-21.527284999999999</v>
      </c>
      <c r="L10" s="1">
        <v>-20.125910999999999</v>
      </c>
      <c r="M10" s="1">
        <v>-24.158245000000001</v>
      </c>
      <c r="N10" s="1">
        <v>-56.955821999999998</v>
      </c>
      <c r="O10" s="1">
        <f t="shared" si="4"/>
        <v>10.680826</v>
      </c>
      <c r="P10" s="1">
        <f t="shared" si="2"/>
        <v>3.1964530000000018</v>
      </c>
      <c r="Q10" s="1">
        <f t="shared" si="2"/>
        <v>2.3577890000000004</v>
      </c>
      <c r="R10" s="1">
        <f t="shared" si="3"/>
        <v>2.5511040000000023</v>
      </c>
      <c r="S10" s="1">
        <f t="shared" si="1"/>
        <v>0.85149800000000297</v>
      </c>
      <c r="T10" s="1">
        <f t="shared" si="1"/>
        <v>1.0697089999999996</v>
      </c>
      <c r="U10" s="1">
        <f t="shared" si="1"/>
        <v>2.5611000000000033</v>
      </c>
      <c r="AM10" s="1">
        <v>0.4</v>
      </c>
      <c r="AN10" s="20">
        <v>1.247665</v>
      </c>
      <c r="AO10" s="1">
        <v>5.5184110000000004</v>
      </c>
      <c r="AR10" s="1">
        <v>0.4</v>
      </c>
      <c r="AS10" s="20">
        <v>0.41588799999999998</v>
      </c>
      <c r="AT10" s="1">
        <v>2.5611000000000033</v>
      </c>
    </row>
    <row r="11" spans="1:46" x14ac:dyDescent="0.2">
      <c r="A11" s="1">
        <v>9</v>
      </c>
      <c r="B11" s="1" t="s">
        <v>462</v>
      </c>
      <c r="C11" s="1" t="s">
        <v>472</v>
      </c>
      <c r="D11" s="1">
        <v>0.4</v>
      </c>
      <c r="E11" s="18" cm="1">
        <f t="array" aca="1" ref="E11" ca="1">SUMPRODUCT((MID($B$2,ROW(INDIRECT("1:"&amp;LEN($B$2))),1)&lt;&gt;MID(B11,ROW(INDIRECT("1:"&amp;LEN($B$2))),1))*1)</f>
        <v>1</v>
      </c>
      <c r="F11" cm="1">
        <f t="array" aca="1" ref="F11" ca="1">SUMPRODUCT((MID($C$2,ROW(INDIRECT("1:"&amp;LEN($C$2))),1)&lt;&gt;MID(C11,ROW(INDIRECT("1:"&amp;LEN($C$2))),1))*1)</f>
        <v>0</v>
      </c>
      <c r="G11" s="20">
        <v>1.318335</v>
      </c>
      <c r="H11" s="1">
        <v>-17.543341000000002</v>
      </c>
      <c r="I11" s="1">
        <v>-19.652144</v>
      </c>
      <c r="J11" s="1">
        <v>-20.123481000000002</v>
      </c>
      <c r="K11" s="1">
        <v>-21.091781999999998</v>
      </c>
      <c r="L11" s="1">
        <v>-20.103287000000002</v>
      </c>
      <c r="M11" s="1">
        <v>-24.359397000000001</v>
      </c>
      <c r="N11" s="1">
        <v>-57.758772</v>
      </c>
      <c r="O11" s="1">
        <f t="shared" si="4"/>
        <v>12.659188999999998</v>
      </c>
      <c r="P11" s="1">
        <f t="shared" si="2"/>
        <v>5.3459040000000009</v>
      </c>
      <c r="Q11" s="1">
        <f t="shared" si="2"/>
        <v>3.4300689999999996</v>
      </c>
      <c r="R11" s="1">
        <f t="shared" si="3"/>
        <v>2.9866070000000029</v>
      </c>
      <c r="S11" s="1">
        <f t="shared" si="1"/>
        <v>0.87412199999999984</v>
      </c>
      <c r="T11" s="1">
        <f t="shared" si="1"/>
        <v>0.86855699999999914</v>
      </c>
      <c r="U11" s="1">
        <f t="shared" si="1"/>
        <v>1.7581500000000005</v>
      </c>
      <c r="AM11" s="1">
        <v>0.4</v>
      </c>
      <c r="AN11" s="20">
        <v>0.41588799999999998</v>
      </c>
      <c r="AO11" s="1">
        <v>4.6838139999999981</v>
      </c>
      <c r="AR11" s="1">
        <v>0.4</v>
      </c>
      <c r="AS11" s="20">
        <v>1.318335</v>
      </c>
      <c r="AT11" s="1">
        <v>1.7581500000000005</v>
      </c>
    </row>
    <row r="12" spans="1:46" x14ac:dyDescent="0.2">
      <c r="A12" s="1">
        <v>10</v>
      </c>
      <c r="B12" s="1" t="s">
        <v>463</v>
      </c>
      <c r="C12" s="1" t="s">
        <v>472</v>
      </c>
      <c r="D12" s="1">
        <v>0.4</v>
      </c>
      <c r="E12" s="18" cm="1">
        <f t="array" aca="1" ref="E12" ca="1">SUMPRODUCT((MID($B$2,ROW(INDIRECT("1:"&amp;LEN($B$2))),1)&lt;&gt;MID(B12,ROW(INDIRECT("1:"&amp;LEN($B$2))),1))*1)</f>
        <v>1</v>
      </c>
      <c r="F12" cm="1">
        <f t="array" aca="1" ref="F12" ca="1">SUMPRODUCT((MID($C$2,ROW(INDIRECT("1:"&amp;LEN($C$2))),1)&lt;&gt;MID(C12,ROW(INDIRECT("1:"&amp;LEN($C$2))),1))*1)</f>
        <v>0</v>
      </c>
      <c r="G12" s="20">
        <v>0.41588799999999998</v>
      </c>
      <c r="H12" s="1">
        <v>-21.650031999999999</v>
      </c>
      <c r="I12" s="1">
        <v>-23.477982999999998</v>
      </c>
      <c r="J12" s="1">
        <v>-22.432459999999999</v>
      </c>
      <c r="K12" s="1">
        <v>-22.623282</v>
      </c>
      <c r="L12" s="1">
        <v>-19.707452</v>
      </c>
      <c r="M12" s="1">
        <v>-23.699946000000001</v>
      </c>
      <c r="N12" s="1">
        <v>-56.111871999999998</v>
      </c>
      <c r="O12" s="1">
        <f t="shared" si="4"/>
        <v>8.5524979999999999</v>
      </c>
      <c r="P12" s="1">
        <f t="shared" si="2"/>
        <v>1.5200650000000024</v>
      </c>
      <c r="Q12" s="1">
        <f t="shared" si="2"/>
        <v>1.1210900000000024</v>
      </c>
      <c r="R12" s="1">
        <f t="shared" si="3"/>
        <v>1.4551070000000017</v>
      </c>
      <c r="S12" s="1">
        <f t="shared" si="1"/>
        <v>1.2699570000000016</v>
      </c>
      <c r="T12" s="1">
        <f t="shared" si="1"/>
        <v>1.5280079999999998</v>
      </c>
      <c r="U12" s="1">
        <f t="shared" si="1"/>
        <v>3.4050500000000028</v>
      </c>
      <c r="AM12" s="1">
        <v>0.4</v>
      </c>
      <c r="AN12" s="20">
        <v>2.964985</v>
      </c>
      <c r="AO12" s="1">
        <v>0.24428999999999945</v>
      </c>
      <c r="AR12" s="1">
        <v>0.4</v>
      </c>
      <c r="AS12" s="20">
        <v>0.41588799999999998</v>
      </c>
      <c r="AT12" s="1">
        <v>3.4050500000000028</v>
      </c>
    </row>
    <row r="13" spans="1:46" x14ac:dyDescent="0.2">
      <c r="A13" s="1">
        <v>11</v>
      </c>
      <c r="B13" s="1" t="s">
        <v>464</v>
      </c>
      <c r="C13" s="1" t="s">
        <v>472</v>
      </c>
      <c r="D13" s="1">
        <v>0.4</v>
      </c>
      <c r="E13" s="18" cm="1">
        <f t="array" aca="1" ref="E13" ca="1">SUMPRODUCT((MID($B$2,ROW(INDIRECT("1:"&amp;LEN($B$2))),1)&lt;&gt;MID(B13,ROW(INDIRECT("1:"&amp;LEN($B$2))),1))*1)</f>
        <v>1</v>
      </c>
      <c r="F13" cm="1">
        <f t="array" aca="1" ref="F13" ca="1">SUMPRODUCT((MID($C$2,ROW(INDIRECT("1:"&amp;LEN($C$2))),1)&lt;&gt;MID(C13,ROW(INDIRECT("1:"&amp;LEN($C$2))),1))*1)</f>
        <v>0</v>
      </c>
      <c r="G13" s="20">
        <v>0</v>
      </c>
      <c r="H13" s="1">
        <v>-20.397631000000001</v>
      </c>
      <c r="I13" s="1">
        <v>-21.821649000000001</v>
      </c>
      <c r="J13" s="1">
        <v>-21.812311000000001</v>
      </c>
      <c r="K13" s="1">
        <v>-22.172798</v>
      </c>
      <c r="L13" s="1">
        <v>-19.222967000000001</v>
      </c>
      <c r="M13" s="1">
        <v>-23.380352999999999</v>
      </c>
      <c r="N13" s="1">
        <v>-55.756661000000001</v>
      </c>
      <c r="O13" s="1">
        <f t="shared" si="4"/>
        <v>9.8048989999999989</v>
      </c>
      <c r="P13" s="1">
        <f t="shared" si="2"/>
        <v>3.176399</v>
      </c>
      <c r="Q13" s="1">
        <f t="shared" si="2"/>
        <v>1.7412390000000002</v>
      </c>
      <c r="R13" s="1">
        <f t="shared" si="3"/>
        <v>1.9055910000000011</v>
      </c>
      <c r="S13" s="1">
        <f t="shared" si="1"/>
        <v>1.7544420000000009</v>
      </c>
      <c r="T13" s="1">
        <f t="shared" si="1"/>
        <v>1.8476010000000009</v>
      </c>
      <c r="U13" s="1">
        <f t="shared" si="1"/>
        <v>3.7602609999999999</v>
      </c>
      <c r="AM13" s="1">
        <v>0.4</v>
      </c>
      <c r="AN13" s="20">
        <v>0.65916699999999995</v>
      </c>
      <c r="AO13" s="1">
        <v>3.6759999999986803E-3</v>
      </c>
      <c r="AR13" s="1">
        <v>0.4</v>
      </c>
      <c r="AS13" s="20">
        <v>0</v>
      </c>
      <c r="AT13" s="1">
        <v>3.7602609999999999</v>
      </c>
    </row>
    <row r="14" spans="1:46" x14ac:dyDescent="0.2">
      <c r="A14" s="1">
        <v>12</v>
      </c>
      <c r="B14" s="1" t="s">
        <v>465</v>
      </c>
      <c r="C14" s="1" t="s">
        <v>472</v>
      </c>
      <c r="D14" s="1">
        <v>0.4</v>
      </c>
      <c r="E14" s="18" cm="1">
        <f t="array" aca="1" ref="E14" ca="1">SUMPRODUCT((MID($B$2,ROW(INDIRECT("1:"&amp;LEN($B$2))),1)&lt;&gt;MID(B14,ROW(INDIRECT("1:"&amp;LEN($B$2))),1))*1)</f>
        <v>2</v>
      </c>
      <c r="F14" cm="1">
        <f t="array" aca="1" ref="F14" ca="1">SUMPRODUCT((MID($C$2,ROW(INDIRECT("1:"&amp;LEN($C$2))),1)&lt;&gt;MID(C14,ROW(INDIRECT("1:"&amp;LEN($C$2))),1))*1)</f>
        <v>0</v>
      </c>
      <c r="G14" s="20">
        <v>1.247665</v>
      </c>
      <c r="H14" s="1">
        <v>-7.738442</v>
      </c>
      <c r="I14" s="1">
        <v>-16.475745</v>
      </c>
      <c r="J14" s="1">
        <v>-18.382241</v>
      </c>
      <c r="K14" s="1">
        <v>-19.186191000000001</v>
      </c>
      <c r="L14" s="1">
        <v>-18.348845000000001</v>
      </c>
      <c r="M14" s="1">
        <v>-22.511796</v>
      </c>
      <c r="N14" s="1">
        <v>-53.998511000000001</v>
      </c>
      <c r="O14" s="1">
        <f t="shared" si="4"/>
        <v>22.464088</v>
      </c>
      <c r="P14" s="1">
        <f t="shared" si="2"/>
        <v>8.5223030000000008</v>
      </c>
      <c r="Q14" s="1">
        <f t="shared" si="2"/>
        <v>5.1713090000000008</v>
      </c>
      <c r="R14" s="1">
        <f t="shared" si="3"/>
        <v>4.8921980000000005</v>
      </c>
      <c r="S14" s="1">
        <f t="shared" si="1"/>
        <v>2.6285640000000008</v>
      </c>
      <c r="T14" s="1">
        <f t="shared" si="1"/>
        <v>2.7161580000000001</v>
      </c>
      <c r="U14" s="1">
        <f t="shared" si="1"/>
        <v>5.5184110000000004</v>
      </c>
      <c r="AM14" s="1">
        <v>0.4</v>
      </c>
      <c r="AN14" s="20">
        <v>0.41588799999999998</v>
      </c>
      <c r="AO14" s="1">
        <v>-0.20372299999999655</v>
      </c>
      <c r="AR14" s="1">
        <v>0.4</v>
      </c>
      <c r="AS14" s="20">
        <v>1.247665</v>
      </c>
      <c r="AT14" s="1">
        <v>5.5184110000000004</v>
      </c>
    </row>
    <row r="15" spans="1:46" x14ac:dyDescent="0.2">
      <c r="A15" s="1">
        <v>13</v>
      </c>
      <c r="B15" s="1" t="s">
        <v>466</v>
      </c>
      <c r="C15" s="1" t="s">
        <v>472</v>
      </c>
      <c r="D15" s="1">
        <v>0.4</v>
      </c>
      <c r="E15" s="18" cm="1">
        <f t="array" aca="1" ref="E15" ca="1">SUMPRODUCT((MID($B$2,ROW(INDIRECT("1:"&amp;LEN($B$2))),1)&lt;&gt;MID(B15,ROW(INDIRECT("1:"&amp;LEN($B$2))),1))*1)</f>
        <v>1</v>
      </c>
      <c r="F15" cm="1">
        <f t="array" aca="1" ref="F15" ca="1">SUMPRODUCT((MID($C$2,ROW(INDIRECT("1:"&amp;LEN($C$2))),1)&lt;&gt;MID(C15,ROW(INDIRECT("1:"&amp;LEN($C$2))),1))*1)</f>
        <v>0</v>
      </c>
      <c r="G15" s="20">
        <v>0.41588799999999998</v>
      </c>
      <c r="H15" s="1">
        <v>-25.073685000000001</v>
      </c>
      <c r="I15" s="1">
        <v>-22.360158999999999</v>
      </c>
      <c r="J15" s="1">
        <v>-21.648812</v>
      </c>
      <c r="K15" s="1">
        <v>-22.412486999999999</v>
      </c>
      <c r="L15" s="1">
        <v>-19.374655000000001</v>
      </c>
      <c r="M15" s="1">
        <v>-23.223679000000001</v>
      </c>
      <c r="N15" s="1">
        <v>-54.833108000000003</v>
      </c>
      <c r="O15" s="1">
        <f t="shared" si="4"/>
        <v>5.1288449999999983</v>
      </c>
      <c r="P15" s="1">
        <f t="shared" si="2"/>
        <v>2.6378890000000013</v>
      </c>
      <c r="Q15" s="1">
        <f t="shared" si="2"/>
        <v>1.9047380000000018</v>
      </c>
      <c r="R15" s="1">
        <f t="shared" si="3"/>
        <v>1.6659020000000027</v>
      </c>
      <c r="S15" s="1">
        <f t="shared" si="1"/>
        <v>1.6027540000000009</v>
      </c>
      <c r="T15" s="1">
        <f t="shared" si="1"/>
        <v>2.0042749999999998</v>
      </c>
      <c r="U15" s="1">
        <f t="shared" si="1"/>
        <v>4.6838139999999981</v>
      </c>
      <c r="AM15" s="1">
        <v>0.7</v>
      </c>
      <c r="AN15" s="20">
        <v>0.83177699999999999</v>
      </c>
      <c r="AO15" s="1">
        <v>-1.7649999999989063E-3</v>
      </c>
      <c r="AR15" s="1">
        <v>0.4</v>
      </c>
      <c r="AS15" s="20">
        <v>0.41588799999999998</v>
      </c>
      <c r="AT15" s="1">
        <v>4.6838139999999981</v>
      </c>
    </row>
    <row r="16" spans="1:46" x14ac:dyDescent="0.2">
      <c r="A16" s="1">
        <v>14</v>
      </c>
      <c r="B16" s="1" t="s">
        <v>467</v>
      </c>
      <c r="C16" s="1" t="s">
        <v>472</v>
      </c>
      <c r="D16" s="1">
        <v>0.3</v>
      </c>
      <c r="E16" s="18" cm="1">
        <f t="array" aca="1" ref="E16" ca="1">SUMPRODUCT((MID($B$2,ROW(INDIRECT("1:"&amp;LEN($B$2))),1)&lt;&gt;MID(B16,ROW(INDIRECT("1:"&amp;LEN($B$2))),1))*1)</f>
        <v>1</v>
      </c>
      <c r="F16" cm="1">
        <f t="array" aca="1" ref="F16" ca="1">SUMPRODUCT((MID($C$2,ROW(INDIRECT("1:"&amp;LEN($C$2))),1)&lt;&gt;MID(C16,ROW(INDIRECT("1:"&amp;LEN($C$2))),1))*1)</f>
        <v>0</v>
      </c>
      <c r="G16" s="20">
        <v>0.65916699999999995</v>
      </c>
      <c r="H16" s="1">
        <v>-30.806732</v>
      </c>
      <c r="I16" s="1">
        <v>-24.412189000000001</v>
      </c>
      <c r="J16" s="1">
        <v>-23.023409000000001</v>
      </c>
      <c r="K16" s="1">
        <v>-23.55753</v>
      </c>
      <c r="L16" s="1">
        <v>-19.680371000000001</v>
      </c>
      <c r="M16" s="1">
        <v>-23.95851</v>
      </c>
      <c r="N16" s="1">
        <v>-57.396005000000002</v>
      </c>
      <c r="O16" s="1">
        <f t="shared" si="4"/>
        <v>-0.60420200000000079</v>
      </c>
      <c r="P16" s="1">
        <f t="shared" si="2"/>
        <v>0.58585899999999924</v>
      </c>
      <c r="Q16" s="1">
        <f t="shared" si="2"/>
        <v>0.53014100000000042</v>
      </c>
      <c r="R16" s="1">
        <f t="shared" si="3"/>
        <v>0.52085900000000152</v>
      </c>
      <c r="S16" s="1">
        <f t="shared" si="1"/>
        <v>1.2970380000000006</v>
      </c>
      <c r="T16" s="1">
        <f t="shared" si="1"/>
        <v>1.269444</v>
      </c>
      <c r="U16" s="1">
        <f t="shared" si="1"/>
        <v>2.1209169999999986</v>
      </c>
      <c r="AM16" s="1">
        <v>0.95</v>
      </c>
      <c r="AN16" s="20">
        <v>0</v>
      </c>
      <c r="AO16" s="1">
        <v>0</v>
      </c>
      <c r="AR16" s="1">
        <v>0.3</v>
      </c>
      <c r="AS16" s="20">
        <v>0.65916699999999995</v>
      </c>
      <c r="AT16" s="1">
        <v>2.1209169999999986</v>
      </c>
    </row>
    <row r="17" spans="1:46" x14ac:dyDescent="0.2">
      <c r="A17" s="1">
        <v>15</v>
      </c>
      <c r="B17" s="1" t="s">
        <v>468</v>
      </c>
      <c r="C17" s="1" t="s">
        <v>472</v>
      </c>
      <c r="D17" s="1">
        <v>0.4</v>
      </c>
      <c r="E17" s="18" cm="1">
        <f t="array" aca="1" ref="E17" ca="1">SUMPRODUCT((MID($B$2,ROW(INDIRECT("1:"&amp;LEN($B$2))),1)&lt;&gt;MID(B17,ROW(INDIRECT("1:"&amp;LEN($B$2))),1))*1)</f>
        <v>1</v>
      </c>
      <c r="F17" cm="1">
        <f t="array" aca="1" ref="F17" ca="1">SUMPRODUCT((MID($C$2,ROW(INDIRECT("1:"&amp;LEN($C$2))),1)&lt;&gt;MID(C17,ROW(INDIRECT("1:"&amp;LEN($C$2))),1))*1)</f>
        <v>0</v>
      </c>
      <c r="G17" s="20">
        <v>2.964985</v>
      </c>
      <c r="H17" s="1">
        <v>-29.838075</v>
      </c>
      <c r="I17" s="1">
        <v>-24.470877999999999</v>
      </c>
      <c r="J17" s="1">
        <v>-23.295676</v>
      </c>
      <c r="K17" s="1">
        <v>-23.877922999999999</v>
      </c>
      <c r="L17" s="1">
        <v>-20.809087999999999</v>
      </c>
      <c r="M17" s="1">
        <v>-25.076056999999999</v>
      </c>
      <c r="N17" s="1">
        <v>-59.272632000000002</v>
      </c>
      <c r="O17" s="1">
        <f t="shared" si="4"/>
        <v>0.36445499999999953</v>
      </c>
      <c r="P17" s="1">
        <f t="shared" si="2"/>
        <v>0.52717000000000169</v>
      </c>
      <c r="Q17" s="1">
        <f t="shared" si="2"/>
        <v>0.25787400000000105</v>
      </c>
      <c r="R17" s="1">
        <f t="shared" si="3"/>
        <v>0.20046600000000225</v>
      </c>
      <c r="S17" s="1">
        <f t="shared" si="1"/>
        <v>0.16832100000000239</v>
      </c>
      <c r="T17" s="1">
        <f t="shared" si="1"/>
        <v>0.15189700000000173</v>
      </c>
      <c r="U17" s="1">
        <f t="shared" si="1"/>
        <v>0.24428999999999945</v>
      </c>
      <c r="AM17" s="1">
        <v>0.95</v>
      </c>
      <c r="AN17" s="20">
        <v>0.96566300000000005</v>
      </c>
      <c r="AO17" s="1">
        <v>0.14290499999999895</v>
      </c>
      <c r="AR17" s="1">
        <v>0.4</v>
      </c>
      <c r="AS17" s="20">
        <v>2.964985</v>
      </c>
      <c r="AT17" s="1">
        <v>0.24428999999999945</v>
      </c>
    </row>
    <row r="18" spans="1:46" x14ac:dyDescent="0.2">
      <c r="A18" s="1">
        <v>16</v>
      </c>
      <c r="B18" s="1" t="s">
        <v>469</v>
      </c>
      <c r="C18" s="1" t="s">
        <v>472</v>
      </c>
      <c r="D18" s="1">
        <v>0.4</v>
      </c>
      <c r="E18" s="18" cm="1">
        <f t="array" aca="1" ref="E18" ca="1">SUMPRODUCT((MID($B$2,ROW(INDIRECT("1:"&amp;LEN($B$2))),1)&lt;&gt;MID(B18,ROW(INDIRECT("1:"&amp;LEN($B$2))),1))*1)</f>
        <v>1</v>
      </c>
      <c r="F18" cm="1">
        <f t="array" aca="1" ref="F18" ca="1">SUMPRODUCT((MID($C$2,ROW(INDIRECT("1:"&amp;LEN($C$2))),1)&lt;&gt;MID(C18,ROW(INDIRECT("1:"&amp;LEN($C$2))),1))*1)</f>
        <v>0</v>
      </c>
      <c r="G18" s="20">
        <v>0.65916699999999995</v>
      </c>
      <c r="H18" s="1">
        <v>-30.183938999999999</v>
      </c>
      <c r="I18" s="1">
        <v>-25.007477000000002</v>
      </c>
      <c r="J18" s="1">
        <v>-23.553412999999999</v>
      </c>
      <c r="K18" s="1">
        <v>-24.081679000000001</v>
      </c>
      <c r="L18" s="1">
        <v>-20.941576000000001</v>
      </c>
      <c r="M18" s="1">
        <v>-25.215896999999998</v>
      </c>
      <c r="N18" s="1">
        <v>-59.513246000000002</v>
      </c>
      <c r="O18" s="1">
        <f t="shared" si="4"/>
        <v>1.859100000000069E-2</v>
      </c>
      <c r="P18" s="1">
        <f t="shared" si="2"/>
        <v>-9.4290000000007979E-3</v>
      </c>
      <c r="Q18" s="1">
        <f t="shared" si="2"/>
        <v>1.3700000000227419E-4</v>
      </c>
      <c r="R18" s="1">
        <f t="shared" si="3"/>
        <v>-3.2899999999997931E-3</v>
      </c>
      <c r="S18" s="1">
        <f t="shared" si="1"/>
        <v>3.5833000000000226E-2</v>
      </c>
      <c r="T18" s="1">
        <f t="shared" si="1"/>
        <v>1.2057000000002205E-2</v>
      </c>
      <c r="U18" s="1">
        <f t="shared" si="1"/>
        <v>3.6759999999986803E-3</v>
      </c>
      <c r="AM18" s="1">
        <v>0.95</v>
      </c>
      <c r="AN18" s="20">
        <v>0.65916699999999995</v>
      </c>
      <c r="AO18" s="1">
        <v>0</v>
      </c>
      <c r="AR18" s="1">
        <v>0.4</v>
      </c>
      <c r="AS18" s="20">
        <v>0.65916699999999995</v>
      </c>
      <c r="AT18" s="1">
        <v>3.6759999999986803E-3</v>
      </c>
    </row>
    <row r="19" spans="1:46" x14ac:dyDescent="0.2">
      <c r="A19" s="1">
        <v>17</v>
      </c>
      <c r="B19" s="1" t="s">
        <v>470</v>
      </c>
      <c r="C19" s="1" t="s">
        <v>472</v>
      </c>
      <c r="D19" s="1">
        <v>0.95</v>
      </c>
      <c r="E19" s="18" cm="1">
        <f t="array" aca="1" ref="E19" ca="1">SUMPRODUCT((MID($B$2,ROW(INDIRECT("1:"&amp;LEN($B$2))),1)&lt;&gt;MID(B19,ROW(INDIRECT("1:"&amp;LEN($B$2))),1))*1)</f>
        <v>1</v>
      </c>
      <c r="F19" cm="1">
        <f t="array" aca="1" ref="F19" ca="1">SUMPRODUCT((MID($C$2,ROW(INDIRECT("1:"&amp;LEN($C$2))),1)&lt;&gt;MID(C19,ROW(INDIRECT("1:"&amp;LEN($C$2))),1))*1)</f>
        <v>0</v>
      </c>
      <c r="G19" s="20">
        <v>0.65916699999999995</v>
      </c>
      <c r="H19" s="1">
        <v>-30.202529999999999</v>
      </c>
      <c r="I19" s="1">
        <v>-24.998048000000001</v>
      </c>
      <c r="J19" s="1">
        <v>-23.553550000000001</v>
      </c>
      <c r="K19" s="1">
        <v>-24.078389000000001</v>
      </c>
      <c r="L19" s="1">
        <v>-20.977409000000002</v>
      </c>
      <c r="M19" s="1">
        <v>-25.227954</v>
      </c>
      <c r="N19" s="1">
        <v>-59.516922000000001</v>
      </c>
      <c r="O19" s="1">
        <f t="shared" si="4"/>
        <v>0</v>
      </c>
      <c r="P19" s="1">
        <f t="shared" si="2"/>
        <v>0</v>
      </c>
      <c r="Q19" s="1">
        <f t="shared" si="2"/>
        <v>0</v>
      </c>
      <c r="R19" s="1">
        <f t="shared" si="3"/>
        <v>0</v>
      </c>
      <c r="S19" s="1">
        <f t="shared" si="1"/>
        <v>0</v>
      </c>
      <c r="T19" s="1">
        <f t="shared" si="1"/>
        <v>0</v>
      </c>
      <c r="U19" s="1">
        <f t="shared" si="1"/>
        <v>0</v>
      </c>
      <c r="AM19" s="21" t="s">
        <v>476</v>
      </c>
      <c r="AN19" s="20">
        <v>0</v>
      </c>
      <c r="AO19" s="1">
        <v>0</v>
      </c>
      <c r="AR19" s="1">
        <v>0.95</v>
      </c>
      <c r="AS19" s="20">
        <v>0.65916699999999995</v>
      </c>
      <c r="AT19" s="1">
        <v>0</v>
      </c>
    </row>
    <row r="20" spans="1:46" x14ac:dyDescent="0.2">
      <c r="A20" s="1">
        <v>18</v>
      </c>
      <c r="B20" s="1" t="s">
        <v>471</v>
      </c>
      <c r="C20" s="1" t="s">
        <v>472</v>
      </c>
      <c r="D20" s="1">
        <v>0.4</v>
      </c>
      <c r="E20" s="18" cm="1">
        <f t="array" aca="1" ref="E20" ca="1">SUMPRODUCT((MID($B$2,ROW(INDIRECT("1:"&amp;LEN($B$2))),1)&lt;&gt;MID(B20,ROW(INDIRECT("1:"&amp;LEN($B$2))),1))*1)</f>
        <v>1</v>
      </c>
      <c r="F20" cm="1">
        <f t="array" aca="1" ref="F20" ca="1">SUMPRODUCT((MID($C$2,ROW(INDIRECT("1:"&amp;LEN($C$2))),1)&lt;&gt;MID(C20,ROW(INDIRECT("1:"&amp;LEN($C$2))),1))*1)</f>
        <v>0</v>
      </c>
      <c r="G20" s="20">
        <v>0.41588799999999998</v>
      </c>
      <c r="H20" s="1">
        <v>-30.173026</v>
      </c>
      <c r="I20" s="1">
        <v>-24.997798</v>
      </c>
      <c r="J20" s="1">
        <v>-23.560504999999999</v>
      </c>
      <c r="K20" s="1">
        <v>-24.086098</v>
      </c>
      <c r="L20" s="1">
        <v>-21.085380000000001</v>
      </c>
      <c r="M20" s="1">
        <v>-25.333718999999999</v>
      </c>
      <c r="N20" s="1">
        <v>-59.720644999999998</v>
      </c>
      <c r="O20" s="1">
        <f t="shared" si="4"/>
        <v>2.9503999999999309E-2</v>
      </c>
      <c r="P20" s="1">
        <f t="shared" si="2"/>
        <v>2.5000000000119371E-4</v>
      </c>
      <c r="Q20" s="1">
        <f t="shared" si="2"/>
        <v>-6.954999999997824E-3</v>
      </c>
      <c r="R20" s="1">
        <f t="shared" si="3"/>
        <v>-7.7089999999984116E-3</v>
      </c>
      <c r="S20" s="1">
        <f t="shared" si="1"/>
        <v>-0.10797099999999915</v>
      </c>
      <c r="T20" s="1">
        <f t="shared" si="1"/>
        <v>-0.10576499999999811</v>
      </c>
      <c r="U20" s="1">
        <f t="shared" si="1"/>
        <v>-0.20372299999999655</v>
      </c>
      <c r="AM20" s="17" t="s">
        <v>477</v>
      </c>
      <c r="AN20" s="19">
        <v>0</v>
      </c>
      <c r="AO20" s="1">
        <v>0</v>
      </c>
      <c r="AR20" s="1">
        <v>0.4</v>
      </c>
      <c r="AS20" s="20">
        <v>0.41588799999999998</v>
      </c>
      <c r="AT20" s="1">
        <v>-0.20372299999999655</v>
      </c>
    </row>
    <row r="21" spans="1:46" x14ac:dyDescent="0.2">
      <c r="C21" s="11"/>
      <c r="D21" s="11"/>
      <c r="E21" s="5"/>
      <c r="F21" s="8"/>
    </row>
    <row r="22" spans="1:46" x14ac:dyDescent="0.2">
      <c r="C22" s="11"/>
      <c r="D22" s="11"/>
      <c r="E22" s="5"/>
      <c r="F22" s="8"/>
    </row>
    <row r="23" spans="1:46" x14ac:dyDescent="0.2">
      <c r="C23" s="11"/>
      <c r="D23" s="11"/>
      <c r="E23" s="5"/>
      <c r="F23" s="8"/>
    </row>
    <row r="24" spans="1:46" x14ac:dyDescent="0.2">
      <c r="C24" s="12"/>
      <c r="D24" s="12"/>
      <c r="E24" s="5"/>
      <c r="F24" s="8"/>
    </row>
    <row r="25" spans="1:46" x14ac:dyDescent="0.2">
      <c r="C25" s="12"/>
      <c r="D25" s="12"/>
      <c r="E25" s="5"/>
      <c r="F25" s="8"/>
    </row>
    <row r="26" spans="1:46" x14ac:dyDescent="0.2">
      <c r="C26" s="12"/>
      <c r="D26" s="12"/>
      <c r="E26" s="5"/>
      <c r="F26" s="8"/>
    </row>
    <row r="27" spans="1:46" x14ac:dyDescent="0.2">
      <c r="C27" s="12"/>
      <c r="D27" s="12"/>
      <c r="E27" s="5"/>
      <c r="F27" s="8"/>
    </row>
    <row r="28" spans="1:46" x14ac:dyDescent="0.2">
      <c r="C28" s="12"/>
      <c r="D28" s="12"/>
      <c r="E28" s="5"/>
      <c r="F28" s="8"/>
    </row>
    <row r="29" spans="1:46" x14ac:dyDescent="0.2">
      <c r="C29" s="12"/>
      <c r="D29" s="12"/>
      <c r="E29" s="5"/>
      <c r="F29" s="8"/>
    </row>
    <row r="30" spans="1:46" x14ac:dyDescent="0.2">
      <c r="C30" s="12"/>
      <c r="D30" s="12"/>
      <c r="E30" s="5"/>
      <c r="F30" s="8"/>
    </row>
    <row r="31" spans="1:46" x14ac:dyDescent="0.2">
      <c r="C31" s="12"/>
      <c r="D31" s="12"/>
      <c r="E31" s="5"/>
      <c r="F31" s="8"/>
    </row>
    <row r="32" spans="1:46" x14ac:dyDescent="0.2">
      <c r="C32" s="12"/>
      <c r="D32" s="12"/>
      <c r="E32" s="5"/>
      <c r="F32" s="8"/>
    </row>
    <row r="33" spans="3:6" x14ac:dyDescent="0.2">
      <c r="C33" s="12"/>
      <c r="D33" s="12"/>
      <c r="E33" s="5"/>
      <c r="F33" s="8"/>
    </row>
    <row r="34" spans="3:6" x14ac:dyDescent="0.2">
      <c r="C34" s="12"/>
      <c r="D34" s="12"/>
      <c r="E34" s="5"/>
      <c r="F34" s="8"/>
    </row>
    <row r="35" spans="3:6" x14ac:dyDescent="0.2">
      <c r="C35" s="12"/>
      <c r="D35" s="12"/>
      <c r="E35" s="5"/>
      <c r="F35" s="8"/>
    </row>
    <row r="36" spans="3:6" x14ac:dyDescent="0.2">
      <c r="C36" s="12"/>
      <c r="D36" s="12"/>
      <c r="E36" s="5"/>
      <c r="F36" s="8"/>
    </row>
    <row r="37" spans="3:6" x14ac:dyDescent="0.2">
      <c r="C37" s="12"/>
      <c r="D37" s="12"/>
      <c r="E37" s="5"/>
      <c r="F37" s="8"/>
    </row>
    <row r="38" spans="3:6" x14ac:dyDescent="0.2">
      <c r="C38" s="12"/>
      <c r="D38" s="12"/>
      <c r="E38" s="5"/>
      <c r="F38" s="8"/>
    </row>
    <row r="39" spans="3:6" x14ac:dyDescent="0.2">
      <c r="C39" s="12"/>
      <c r="D39" s="12"/>
      <c r="E39" s="5"/>
      <c r="F39" s="8"/>
    </row>
    <row r="40" spans="3:6" x14ac:dyDescent="0.2">
      <c r="C40" s="12"/>
      <c r="D40" s="12"/>
      <c r="E40" s="5"/>
      <c r="F40" s="8"/>
    </row>
    <row r="41" spans="3:6" x14ac:dyDescent="0.2">
      <c r="C41" s="12"/>
      <c r="D41" s="12"/>
      <c r="E41" s="5"/>
      <c r="F41" s="8"/>
    </row>
    <row r="42" spans="3:6" x14ac:dyDescent="0.2">
      <c r="C42" s="12"/>
      <c r="D42" s="12"/>
      <c r="E42" s="5"/>
      <c r="F42" s="8"/>
    </row>
    <row r="43" spans="3:6" x14ac:dyDescent="0.2">
      <c r="C43" s="12"/>
      <c r="D43" s="12"/>
      <c r="E43" s="5"/>
      <c r="F43" s="8"/>
    </row>
    <row r="44" spans="3:6" x14ac:dyDescent="0.2">
      <c r="C44" s="12"/>
      <c r="D44" s="12"/>
      <c r="E44" s="5"/>
      <c r="F44" s="8"/>
    </row>
    <row r="45" spans="3:6" x14ac:dyDescent="0.2">
      <c r="C45" s="12"/>
      <c r="D45" s="12"/>
      <c r="E45" s="5"/>
      <c r="F45" s="8"/>
    </row>
    <row r="46" spans="3:6" x14ac:dyDescent="0.2">
      <c r="C46" s="12"/>
      <c r="D46" s="12"/>
      <c r="E46" s="5"/>
      <c r="F46" s="8"/>
    </row>
    <row r="47" spans="3:6" x14ac:dyDescent="0.2">
      <c r="C47" s="12"/>
      <c r="D47" s="12"/>
      <c r="E47" s="5"/>
      <c r="F47" s="8"/>
    </row>
    <row r="48" spans="3:6" x14ac:dyDescent="0.2">
      <c r="C48" s="12"/>
      <c r="D48" s="12"/>
      <c r="E48" s="5"/>
      <c r="F48" s="8"/>
    </row>
    <row r="49" spans="3:6" x14ac:dyDescent="0.2">
      <c r="C49" s="12"/>
      <c r="D49" s="12"/>
      <c r="E49" s="5"/>
      <c r="F49" s="8"/>
    </row>
    <row r="50" spans="3:6" x14ac:dyDescent="0.2">
      <c r="C50" s="12"/>
      <c r="D50" s="12"/>
      <c r="E50" s="5"/>
      <c r="F50" s="8"/>
    </row>
    <row r="51" spans="3:6" x14ac:dyDescent="0.2">
      <c r="C51" s="12"/>
      <c r="D51" s="12"/>
      <c r="E51" s="5"/>
      <c r="F51" s="8"/>
    </row>
    <row r="52" spans="3:6" x14ac:dyDescent="0.2">
      <c r="C52" s="12"/>
      <c r="D52" s="12"/>
      <c r="E52" s="5"/>
      <c r="F52" s="8"/>
    </row>
    <row r="53" spans="3:6" x14ac:dyDescent="0.2">
      <c r="C53" s="12"/>
      <c r="D53" s="12"/>
      <c r="E53" s="5"/>
      <c r="F53" s="8"/>
    </row>
    <row r="54" spans="3:6" x14ac:dyDescent="0.2">
      <c r="C54" s="12"/>
      <c r="D54" s="12"/>
      <c r="E54" s="5"/>
      <c r="F54" s="8"/>
    </row>
    <row r="55" spans="3:6" x14ac:dyDescent="0.2">
      <c r="C55" s="12"/>
      <c r="D55" s="12"/>
      <c r="E55" s="5"/>
      <c r="F55" s="8"/>
    </row>
    <row r="56" spans="3:6" x14ac:dyDescent="0.2">
      <c r="C56" s="12"/>
      <c r="D56" s="12"/>
      <c r="E56" s="5"/>
      <c r="F56" s="8"/>
    </row>
    <row r="57" spans="3:6" x14ac:dyDescent="0.2">
      <c r="C57" s="12"/>
      <c r="D57" s="12"/>
      <c r="E57" s="5"/>
      <c r="F57" s="8"/>
    </row>
    <row r="58" spans="3:6" x14ac:dyDescent="0.2">
      <c r="C58" s="12"/>
      <c r="D58" s="12"/>
      <c r="E58" s="5"/>
      <c r="F58" s="8"/>
    </row>
    <row r="59" spans="3:6" x14ac:dyDescent="0.2">
      <c r="C59" s="12"/>
      <c r="D59" s="12"/>
      <c r="E59" s="5"/>
      <c r="F59" s="8"/>
    </row>
    <row r="60" spans="3:6" x14ac:dyDescent="0.2">
      <c r="C60" s="12"/>
      <c r="D60" s="12"/>
      <c r="E60" s="5"/>
      <c r="F60" s="8"/>
    </row>
    <row r="61" spans="3:6" x14ac:dyDescent="0.2">
      <c r="C61" s="12"/>
      <c r="D61" s="12"/>
      <c r="E61" s="5"/>
      <c r="F61" s="8"/>
    </row>
    <row r="62" spans="3:6" x14ac:dyDescent="0.2">
      <c r="C62" s="12"/>
      <c r="D62" s="12"/>
      <c r="E62" s="5"/>
      <c r="F62" s="8"/>
    </row>
    <row r="63" spans="3:6" x14ac:dyDescent="0.2">
      <c r="C63" s="12"/>
      <c r="D63" s="12"/>
      <c r="E63" s="5"/>
      <c r="F63" s="8"/>
    </row>
    <row r="64" spans="3:6" x14ac:dyDescent="0.2">
      <c r="C64" s="12"/>
      <c r="D64" s="12"/>
      <c r="E64" s="5"/>
      <c r="F64" s="8"/>
    </row>
    <row r="65" spans="3:6" x14ac:dyDescent="0.2">
      <c r="C65" s="12"/>
      <c r="D65" s="12"/>
      <c r="E65" s="5"/>
      <c r="F65" s="8"/>
    </row>
    <row r="66" spans="3:6" x14ac:dyDescent="0.2">
      <c r="C66" s="12"/>
      <c r="D66" s="12"/>
      <c r="E66" s="5"/>
      <c r="F66" s="8"/>
    </row>
    <row r="67" spans="3:6" x14ac:dyDescent="0.2">
      <c r="C67" s="12"/>
      <c r="D67" s="12"/>
      <c r="E67" s="5"/>
      <c r="F67" s="8"/>
    </row>
    <row r="68" spans="3:6" x14ac:dyDescent="0.2">
      <c r="C68" s="12"/>
      <c r="D68" s="12"/>
      <c r="E68" s="5"/>
      <c r="F68" s="8"/>
    </row>
    <row r="69" spans="3:6" x14ac:dyDescent="0.2">
      <c r="C69" s="12"/>
      <c r="D69" s="12"/>
      <c r="E69" s="5"/>
      <c r="F69" s="8"/>
    </row>
    <row r="70" spans="3:6" x14ac:dyDescent="0.2">
      <c r="C70" s="12"/>
      <c r="D70" s="12"/>
      <c r="E70" s="5"/>
      <c r="F70" s="8"/>
    </row>
    <row r="71" spans="3:6" x14ac:dyDescent="0.2">
      <c r="C71" s="12"/>
      <c r="D71" s="12"/>
      <c r="E71" s="5"/>
      <c r="F71" s="8"/>
    </row>
    <row r="72" spans="3:6" x14ac:dyDescent="0.2">
      <c r="C72" s="12"/>
      <c r="D72" s="12"/>
      <c r="E72" s="5"/>
      <c r="F72" s="8"/>
    </row>
    <row r="73" spans="3:6" x14ac:dyDescent="0.2">
      <c r="C73" s="12"/>
      <c r="D73" s="12"/>
      <c r="E73" s="5"/>
      <c r="F73" s="8"/>
    </row>
    <row r="74" spans="3:6" x14ac:dyDescent="0.2">
      <c r="C74" s="12"/>
      <c r="D74" s="12"/>
      <c r="E74" s="5"/>
      <c r="F74" s="8"/>
    </row>
    <row r="75" spans="3:6" x14ac:dyDescent="0.2">
      <c r="C75" s="12"/>
      <c r="D75" s="12"/>
      <c r="E75" s="5"/>
      <c r="F75" s="8"/>
    </row>
    <row r="76" spans="3:6" x14ac:dyDescent="0.2">
      <c r="C76" s="12"/>
      <c r="D76" s="12"/>
      <c r="E76" s="5"/>
      <c r="F76" s="8"/>
    </row>
    <row r="77" spans="3:6" x14ac:dyDescent="0.2">
      <c r="C77" s="12"/>
      <c r="D77" s="12"/>
      <c r="E77" s="5"/>
      <c r="F77" s="8"/>
    </row>
    <row r="78" spans="3:6" x14ac:dyDescent="0.2">
      <c r="C78" s="12"/>
      <c r="D78" s="12"/>
      <c r="E78" s="5"/>
      <c r="F78" s="8"/>
    </row>
    <row r="79" spans="3:6" x14ac:dyDescent="0.2">
      <c r="C79" s="12"/>
      <c r="D79" s="12"/>
      <c r="E79" s="5"/>
      <c r="F79" s="8"/>
    </row>
    <row r="80" spans="3:6" x14ac:dyDescent="0.2">
      <c r="C80" s="12"/>
      <c r="D80" s="12"/>
      <c r="E80" s="5"/>
      <c r="F80" s="8"/>
    </row>
    <row r="81" spans="3:6" x14ac:dyDescent="0.2">
      <c r="C81" s="12"/>
      <c r="D81" s="12"/>
      <c r="E81" s="5"/>
      <c r="F81" s="8"/>
    </row>
    <row r="82" spans="3:6" x14ac:dyDescent="0.2">
      <c r="C82" s="12"/>
      <c r="D82" s="12"/>
      <c r="E82" s="5"/>
      <c r="F82" s="8"/>
    </row>
    <row r="83" spans="3:6" x14ac:dyDescent="0.2">
      <c r="C83" s="12"/>
      <c r="D83" s="12"/>
      <c r="E83" s="5"/>
      <c r="F83" s="8"/>
    </row>
    <row r="84" spans="3:6" x14ac:dyDescent="0.2">
      <c r="C84" s="12"/>
      <c r="D84" s="12"/>
      <c r="E84" s="5"/>
      <c r="F84" s="8"/>
    </row>
    <row r="85" spans="3:6" x14ac:dyDescent="0.2">
      <c r="C85" s="12"/>
      <c r="D85" s="12"/>
      <c r="E85" s="5"/>
      <c r="F85" s="8"/>
    </row>
    <row r="86" spans="3:6" x14ac:dyDescent="0.2">
      <c r="C86" s="12"/>
      <c r="D86" s="12"/>
      <c r="E86" s="5"/>
      <c r="F86" s="8"/>
    </row>
    <row r="87" spans="3:6" x14ac:dyDescent="0.2">
      <c r="C87" s="12"/>
      <c r="D87" s="12"/>
      <c r="E87" s="5"/>
      <c r="F87" s="8"/>
    </row>
    <row r="88" spans="3:6" x14ac:dyDescent="0.2">
      <c r="C88" s="12"/>
      <c r="D88" s="12"/>
      <c r="E88" s="5"/>
      <c r="F88" s="8"/>
    </row>
    <row r="89" spans="3:6" x14ac:dyDescent="0.2">
      <c r="C89" s="12"/>
      <c r="D89" s="12"/>
      <c r="E89" s="5"/>
      <c r="F89" s="8"/>
    </row>
    <row r="90" spans="3:6" x14ac:dyDescent="0.2">
      <c r="C90" s="12"/>
      <c r="D90" s="12"/>
      <c r="E90" s="5"/>
      <c r="F90" s="8"/>
    </row>
    <row r="91" spans="3:6" x14ac:dyDescent="0.2">
      <c r="C91" s="12"/>
      <c r="D91" s="12"/>
      <c r="E91" s="5"/>
      <c r="F91" s="8"/>
    </row>
    <row r="92" spans="3:6" x14ac:dyDescent="0.2">
      <c r="C92" s="12"/>
      <c r="D92" s="12"/>
      <c r="E92" s="5"/>
      <c r="F92" s="8"/>
    </row>
    <row r="93" spans="3:6" x14ac:dyDescent="0.2">
      <c r="C93" s="12"/>
      <c r="D93" s="12"/>
      <c r="E93" s="5"/>
      <c r="F93" s="8"/>
    </row>
    <row r="94" spans="3:6" x14ac:dyDescent="0.2">
      <c r="C94" s="12"/>
      <c r="D94" s="12"/>
      <c r="E94" s="5"/>
      <c r="F94" s="8"/>
    </row>
    <row r="95" spans="3:6" x14ac:dyDescent="0.2">
      <c r="C95" s="12"/>
      <c r="D95" s="12"/>
      <c r="E95" s="5"/>
      <c r="F95" s="8"/>
    </row>
    <row r="96" spans="3:6" x14ac:dyDescent="0.2">
      <c r="C96" s="12"/>
      <c r="D96" s="12"/>
      <c r="E96" s="5"/>
      <c r="F96" s="8"/>
    </row>
    <row r="97" spans="3:6" x14ac:dyDescent="0.2">
      <c r="C97" s="12"/>
      <c r="D97" s="12"/>
      <c r="E97" s="5"/>
      <c r="F97" s="8"/>
    </row>
    <row r="98" spans="3:6" x14ac:dyDescent="0.2">
      <c r="C98" s="12"/>
      <c r="D98" s="12"/>
      <c r="E98" s="5"/>
      <c r="F98" s="8"/>
    </row>
    <row r="99" spans="3:6" x14ac:dyDescent="0.2">
      <c r="C99" s="12"/>
      <c r="D99" s="12"/>
      <c r="E99" s="5"/>
      <c r="F99" s="8"/>
    </row>
    <row r="100" spans="3:6" x14ac:dyDescent="0.2">
      <c r="C100" s="12"/>
      <c r="D100" s="12"/>
      <c r="E100" s="5"/>
      <c r="F100" s="8"/>
    </row>
    <row r="101" spans="3:6" x14ac:dyDescent="0.2">
      <c r="C101" s="12"/>
      <c r="D101" s="12"/>
      <c r="E101" s="5"/>
      <c r="F101" s="8"/>
    </row>
    <row r="102" spans="3:6" x14ac:dyDescent="0.2">
      <c r="C102" s="12"/>
      <c r="D102" s="12"/>
      <c r="E102" s="5"/>
      <c r="F102" s="8"/>
    </row>
    <row r="103" spans="3:6" x14ac:dyDescent="0.2">
      <c r="C103" s="12"/>
      <c r="D103" s="12"/>
      <c r="E103" s="5"/>
      <c r="F103" s="8"/>
    </row>
    <row r="104" spans="3:6" x14ac:dyDescent="0.2">
      <c r="C104" s="12"/>
      <c r="D104" s="12"/>
      <c r="E104" s="5"/>
      <c r="F104" s="8"/>
    </row>
    <row r="105" spans="3:6" x14ac:dyDescent="0.2">
      <c r="C105" s="12"/>
      <c r="D105" s="12"/>
      <c r="E105" s="5"/>
      <c r="F105" s="8"/>
    </row>
    <row r="106" spans="3:6" x14ac:dyDescent="0.2">
      <c r="C106" s="12"/>
      <c r="D106" s="12"/>
      <c r="E106" s="5"/>
      <c r="F106" s="8"/>
    </row>
    <row r="107" spans="3:6" x14ac:dyDescent="0.2">
      <c r="C107" s="12"/>
      <c r="D107" s="12"/>
      <c r="E107" s="5"/>
      <c r="F107" s="8"/>
    </row>
    <row r="108" spans="3:6" x14ac:dyDescent="0.2">
      <c r="C108" s="12"/>
      <c r="D108" s="12"/>
      <c r="E108" s="5"/>
      <c r="F108" s="8"/>
    </row>
    <row r="109" spans="3:6" x14ac:dyDescent="0.2">
      <c r="C109" s="12"/>
      <c r="D109" s="12"/>
      <c r="E109" s="5"/>
      <c r="F109" s="8"/>
    </row>
    <row r="110" spans="3:6" x14ac:dyDescent="0.2">
      <c r="C110" s="12"/>
      <c r="D110" s="12"/>
      <c r="E110" s="5"/>
      <c r="F110" s="8"/>
    </row>
    <row r="111" spans="3:6" x14ac:dyDescent="0.2">
      <c r="C111" s="12"/>
      <c r="D111" s="12"/>
      <c r="E111" s="5"/>
      <c r="F111" s="8"/>
    </row>
    <row r="112" spans="3:6" x14ac:dyDescent="0.2">
      <c r="C112" s="12"/>
      <c r="D112" s="12"/>
      <c r="E112" s="5"/>
      <c r="F112" s="8"/>
    </row>
    <row r="113" spans="3:6" x14ac:dyDescent="0.2">
      <c r="C113" s="12"/>
      <c r="D113" s="12"/>
      <c r="E113" s="5"/>
      <c r="F113" s="8"/>
    </row>
    <row r="114" spans="3:6" x14ac:dyDescent="0.2">
      <c r="C114" s="12"/>
      <c r="D114" s="12"/>
      <c r="E114" s="5"/>
      <c r="F114" s="8"/>
    </row>
    <row r="115" spans="3:6" x14ac:dyDescent="0.2">
      <c r="C115" s="12"/>
      <c r="D115" s="12"/>
      <c r="E115" s="5"/>
      <c r="F115" s="8"/>
    </row>
    <row r="116" spans="3:6" x14ac:dyDescent="0.2">
      <c r="C116" s="12"/>
      <c r="D116" s="12"/>
      <c r="E116" s="5"/>
      <c r="F116" s="8"/>
    </row>
    <row r="117" spans="3:6" x14ac:dyDescent="0.2">
      <c r="C117" s="12"/>
      <c r="D117" s="12"/>
      <c r="E117" s="5"/>
      <c r="F117" s="8"/>
    </row>
    <row r="118" spans="3:6" x14ac:dyDescent="0.2">
      <c r="C118" s="12"/>
      <c r="D118" s="12"/>
      <c r="E118" s="5"/>
      <c r="F118" s="8"/>
    </row>
    <row r="119" spans="3:6" x14ac:dyDescent="0.2">
      <c r="C119" s="12"/>
      <c r="D119" s="12"/>
      <c r="E119" s="5"/>
      <c r="F119" s="8"/>
    </row>
    <row r="120" spans="3:6" x14ac:dyDescent="0.2">
      <c r="C120" s="12"/>
      <c r="D120" s="12"/>
      <c r="E120" s="5"/>
      <c r="F120" s="8"/>
    </row>
    <row r="121" spans="3:6" x14ac:dyDescent="0.2">
      <c r="C121" s="12"/>
      <c r="D121" s="12"/>
      <c r="E121" s="5"/>
      <c r="F121" s="8"/>
    </row>
    <row r="122" spans="3:6" x14ac:dyDescent="0.2">
      <c r="C122" s="12"/>
      <c r="D122" s="12"/>
      <c r="E122" s="5"/>
      <c r="F122" s="8"/>
    </row>
    <row r="123" spans="3:6" x14ac:dyDescent="0.2">
      <c r="C123" s="12"/>
      <c r="D123" s="12"/>
      <c r="E123" s="5"/>
      <c r="F123" s="8"/>
    </row>
    <row r="124" spans="3:6" x14ac:dyDescent="0.2">
      <c r="C124" s="12"/>
      <c r="D124" s="12"/>
      <c r="E124" s="5"/>
      <c r="F124" s="8"/>
    </row>
    <row r="125" spans="3:6" x14ac:dyDescent="0.2">
      <c r="C125" s="12"/>
      <c r="D125" s="12"/>
      <c r="E125" s="5"/>
      <c r="F125" s="8"/>
    </row>
    <row r="126" spans="3:6" x14ac:dyDescent="0.2">
      <c r="C126" s="12"/>
      <c r="D126" s="12"/>
      <c r="E126" s="5"/>
      <c r="F126" s="8"/>
    </row>
    <row r="127" spans="3:6" x14ac:dyDescent="0.2">
      <c r="C127" s="12"/>
      <c r="D127" s="12"/>
      <c r="E127" s="5"/>
      <c r="F127" s="8"/>
    </row>
    <row r="128" spans="3:6" x14ac:dyDescent="0.2">
      <c r="C128" s="12"/>
      <c r="D128" s="12"/>
      <c r="E128" s="5"/>
      <c r="F128" s="8"/>
    </row>
    <row r="129" spans="3:6" x14ac:dyDescent="0.2">
      <c r="C129" s="12"/>
      <c r="D129" s="12"/>
      <c r="E129" s="5"/>
      <c r="F129" s="8"/>
    </row>
    <row r="130" spans="3:6" x14ac:dyDescent="0.2">
      <c r="C130" s="12"/>
      <c r="D130" s="12"/>
      <c r="E130" s="5"/>
      <c r="F130" s="8"/>
    </row>
    <row r="131" spans="3:6" x14ac:dyDescent="0.2">
      <c r="C131" s="12"/>
      <c r="D131" s="12"/>
      <c r="E131" s="5"/>
      <c r="F131" s="8"/>
    </row>
    <row r="132" spans="3:6" x14ac:dyDescent="0.2">
      <c r="C132" s="12"/>
      <c r="D132" s="12"/>
      <c r="E132" s="5"/>
      <c r="F132" s="8"/>
    </row>
    <row r="133" spans="3:6" x14ac:dyDescent="0.2">
      <c r="C133" s="12"/>
      <c r="D133" s="12"/>
      <c r="E133" s="5"/>
      <c r="F133" s="8"/>
    </row>
    <row r="134" spans="3:6" x14ac:dyDescent="0.2">
      <c r="C134" s="12"/>
      <c r="D134" s="12"/>
      <c r="E134" s="5"/>
      <c r="F134" s="8"/>
    </row>
    <row r="135" spans="3:6" x14ac:dyDescent="0.2">
      <c r="C135" s="12"/>
      <c r="D135" s="12"/>
      <c r="E135" s="5"/>
      <c r="F135" s="8"/>
    </row>
    <row r="136" spans="3:6" x14ac:dyDescent="0.2">
      <c r="C136" s="12"/>
      <c r="D136" s="12"/>
      <c r="E136" s="5"/>
      <c r="F136" s="8"/>
    </row>
    <row r="137" spans="3:6" x14ac:dyDescent="0.2">
      <c r="C137" s="12"/>
      <c r="D137" s="12"/>
      <c r="E137" s="5"/>
      <c r="F137" s="8"/>
    </row>
    <row r="138" spans="3:6" x14ac:dyDescent="0.2">
      <c r="C138" s="12"/>
      <c r="D138" s="12"/>
      <c r="E138" s="5"/>
      <c r="F138" s="8"/>
    </row>
    <row r="139" spans="3:6" x14ac:dyDescent="0.2">
      <c r="C139" s="12"/>
      <c r="D139" s="12"/>
      <c r="E139" s="5"/>
      <c r="F139" s="8"/>
    </row>
    <row r="140" spans="3:6" x14ac:dyDescent="0.2">
      <c r="C140" s="12"/>
      <c r="D140" s="12"/>
      <c r="E140" s="5"/>
      <c r="F140" s="8"/>
    </row>
    <row r="141" spans="3:6" x14ac:dyDescent="0.2">
      <c r="C141" s="12"/>
      <c r="D141" s="12"/>
      <c r="E141" s="5"/>
      <c r="F141" s="8"/>
    </row>
    <row r="142" spans="3:6" x14ac:dyDescent="0.2">
      <c r="C142" s="12"/>
      <c r="D142" s="12"/>
      <c r="E142" s="5"/>
      <c r="F142" s="8"/>
    </row>
    <row r="143" spans="3:6" x14ac:dyDescent="0.2">
      <c r="C143" s="12"/>
      <c r="D143" s="12"/>
      <c r="E143" s="5"/>
      <c r="F143" s="8"/>
    </row>
    <row r="144" spans="3:6" x14ac:dyDescent="0.2">
      <c r="C144" s="12"/>
      <c r="D144" s="12"/>
      <c r="E144" s="5"/>
      <c r="F144" s="8"/>
    </row>
    <row r="145" spans="3:6" x14ac:dyDescent="0.2">
      <c r="C145" s="12"/>
      <c r="D145" s="12"/>
      <c r="E145" s="5"/>
      <c r="F145" s="8"/>
    </row>
    <row r="146" spans="3:6" x14ac:dyDescent="0.2">
      <c r="C146" s="12"/>
      <c r="D146" s="12"/>
      <c r="E146" s="5"/>
      <c r="F146" s="8"/>
    </row>
    <row r="147" spans="3:6" x14ac:dyDescent="0.2">
      <c r="C147" s="12"/>
      <c r="D147" s="12"/>
      <c r="E147" s="5"/>
      <c r="F147" s="8"/>
    </row>
    <row r="148" spans="3:6" x14ac:dyDescent="0.2">
      <c r="C148" s="12"/>
      <c r="D148" s="12"/>
      <c r="E148" s="5"/>
      <c r="F148" s="8"/>
    </row>
    <row r="149" spans="3:6" x14ac:dyDescent="0.2">
      <c r="C149" s="12"/>
      <c r="D149" s="12"/>
      <c r="E149" s="5"/>
      <c r="F149" s="8"/>
    </row>
    <row r="150" spans="3:6" x14ac:dyDescent="0.2">
      <c r="C150" s="12"/>
      <c r="D150" s="12"/>
      <c r="E150" s="5"/>
      <c r="F150" s="8"/>
    </row>
    <row r="151" spans="3:6" x14ac:dyDescent="0.2">
      <c r="C151" s="12"/>
      <c r="D151" s="12"/>
      <c r="E151" s="5"/>
      <c r="F151" s="8"/>
    </row>
    <row r="152" spans="3:6" x14ac:dyDescent="0.2">
      <c r="C152" s="12"/>
      <c r="D152" s="12"/>
      <c r="E152" s="5"/>
      <c r="F152" s="8"/>
    </row>
    <row r="153" spans="3:6" x14ac:dyDescent="0.2">
      <c r="C153" s="12"/>
      <c r="D153" s="12"/>
      <c r="E153" s="5"/>
      <c r="F153" s="8"/>
    </row>
    <row r="154" spans="3:6" x14ac:dyDescent="0.2">
      <c r="C154" s="12"/>
      <c r="D154" s="12"/>
      <c r="E154" s="5"/>
      <c r="F154" s="8"/>
    </row>
    <row r="155" spans="3:6" x14ac:dyDescent="0.2">
      <c r="C155" s="12"/>
      <c r="D155" s="12"/>
      <c r="E155" s="5"/>
      <c r="F155" s="8"/>
    </row>
    <row r="156" spans="3:6" x14ac:dyDescent="0.2">
      <c r="C156" s="12"/>
      <c r="D156" s="12"/>
      <c r="E156" s="5"/>
      <c r="F156" s="8"/>
    </row>
    <row r="157" spans="3:6" x14ac:dyDescent="0.2">
      <c r="C157" s="12"/>
      <c r="D157" s="12"/>
      <c r="E157" s="5"/>
      <c r="F157" s="8"/>
    </row>
    <row r="158" spans="3:6" x14ac:dyDescent="0.2">
      <c r="C158" s="12"/>
      <c r="D158" s="12"/>
      <c r="E158" s="5"/>
      <c r="F158" s="8"/>
    </row>
    <row r="159" spans="3:6" x14ac:dyDescent="0.2">
      <c r="C159" s="12"/>
      <c r="D159" s="12"/>
      <c r="E159" s="5"/>
      <c r="F159" s="8"/>
    </row>
    <row r="160" spans="3:6" x14ac:dyDescent="0.2">
      <c r="C160" s="12"/>
      <c r="D160" s="12"/>
      <c r="E160" s="5"/>
      <c r="F160" s="8"/>
    </row>
    <row r="161" spans="3:6" x14ac:dyDescent="0.2">
      <c r="C161" s="12"/>
      <c r="D161" s="12"/>
      <c r="E161" s="5"/>
      <c r="F161" s="8"/>
    </row>
    <row r="162" spans="3:6" x14ac:dyDescent="0.2">
      <c r="C162" s="12"/>
      <c r="D162" s="12"/>
      <c r="E162" s="5"/>
      <c r="F162" s="8"/>
    </row>
    <row r="163" spans="3:6" x14ac:dyDescent="0.2">
      <c r="C163" s="12"/>
      <c r="D163" s="12"/>
      <c r="E163" s="5"/>
      <c r="F163" s="8"/>
    </row>
    <row r="164" spans="3:6" x14ac:dyDescent="0.2">
      <c r="C164" s="12"/>
      <c r="D164" s="12"/>
      <c r="E164" s="5"/>
      <c r="F164" s="8"/>
    </row>
    <row r="165" spans="3:6" x14ac:dyDescent="0.2">
      <c r="C165" s="12"/>
      <c r="D165" s="12"/>
      <c r="E165" s="5"/>
      <c r="F165" s="8"/>
    </row>
    <row r="166" spans="3:6" x14ac:dyDescent="0.2">
      <c r="C166" s="12"/>
      <c r="D166" s="12"/>
      <c r="E166" s="5"/>
      <c r="F166" s="8"/>
    </row>
    <row r="167" spans="3:6" x14ac:dyDescent="0.2">
      <c r="C167" s="12"/>
      <c r="D167" s="12"/>
      <c r="E167" s="5"/>
      <c r="F167" s="8"/>
    </row>
    <row r="168" spans="3:6" x14ac:dyDescent="0.2">
      <c r="C168" s="12"/>
      <c r="D168" s="12"/>
      <c r="E168" s="5"/>
      <c r="F168" s="8"/>
    </row>
    <row r="169" spans="3:6" x14ac:dyDescent="0.2">
      <c r="C169" s="12"/>
      <c r="D169" s="12"/>
      <c r="E169" s="5"/>
      <c r="F169" s="8"/>
    </row>
    <row r="170" spans="3:6" x14ac:dyDescent="0.2">
      <c r="C170" s="12"/>
      <c r="D170" s="12"/>
      <c r="E170" s="5"/>
      <c r="F170" s="8"/>
    </row>
    <row r="171" spans="3:6" x14ac:dyDescent="0.2">
      <c r="C171" s="12"/>
      <c r="D171" s="12"/>
      <c r="E171" s="5"/>
      <c r="F171" s="8"/>
    </row>
    <row r="172" spans="3:6" x14ac:dyDescent="0.2">
      <c r="C172" s="12"/>
      <c r="D172" s="12"/>
      <c r="E172" s="5"/>
      <c r="F172" s="8"/>
    </row>
    <row r="173" spans="3:6" x14ac:dyDescent="0.2">
      <c r="C173" s="12"/>
      <c r="D173" s="12"/>
      <c r="E173" s="5"/>
      <c r="F173" s="8"/>
    </row>
    <row r="174" spans="3:6" x14ac:dyDescent="0.2">
      <c r="C174" s="12"/>
      <c r="D174" s="12"/>
      <c r="E174" s="5"/>
      <c r="F174" s="8"/>
    </row>
    <row r="175" spans="3:6" x14ac:dyDescent="0.2">
      <c r="C175" s="12"/>
      <c r="D175" s="12"/>
      <c r="E175" s="5"/>
      <c r="F175" s="8"/>
    </row>
    <row r="176" spans="3:6" x14ac:dyDescent="0.2">
      <c r="C176" s="12"/>
      <c r="D176" s="12"/>
      <c r="E176" s="5"/>
      <c r="F176" s="8"/>
    </row>
    <row r="177" spans="3:6" x14ac:dyDescent="0.2">
      <c r="C177" s="12"/>
      <c r="D177" s="12"/>
      <c r="E177" s="5"/>
      <c r="F177" s="8"/>
    </row>
    <row r="178" spans="3:6" x14ac:dyDescent="0.2">
      <c r="C178" s="12"/>
      <c r="D178" s="12"/>
      <c r="E178" s="5"/>
      <c r="F178" s="8"/>
    </row>
    <row r="179" spans="3:6" x14ac:dyDescent="0.2">
      <c r="C179" s="12"/>
      <c r="D179" s="12"/>
      <c r="E179" s="5"/>
      <c r="F179" s="8"/>
    </row>
    <row r="180" spans="3:6" x14ac:dyDescent="0.2">
      <c r="C180" s="12"/>
      <c r="D180" s="12"/>
      <c r="E180" s="5"/>
      <c r="F180" s="8"/>
    </row>
    <row r="181" spans="3:6" x14ac:dyDescent="0.2">
      <c r="C181" s="12"/>
      <c r="D181" s="12"/>
      <c r="E181" s="5"/>
      <c r="F181" s="8"/>
    </row>
    <row r="182" spans="3:6" x14ac:dyDescent="0.2">
      <c r="C182" s="12"/>
      <c r="D182" s="12"/>
      <c r="E182" s="5"/>
      <c r="F182" s="8"/>
    </row>
    <row r="183" spans="3:6" x14ac:dyDescent="0.2">
      <c r="C183" s="12"/>
      <c r="D183" s="12"/>
      <c r="E183" s="5"/>
      <c r="F183" s="8"/>
    </row>
    <row r="184" spans="3:6" x14ac:dyDescent="0.2">
      <c r="C184" s="12"/>
      <c r="D184" s="12"/>
      <c r="E184" s="5"/>
      <c r="F184" s="8"/>
    </row>
    <row r="185" spans="3:6" x14ac:dyDescent="0.2">
      <c r="C185" s="12"/>
      <c r="D185" s="12"/>
      <c r="E185" s="5"/>
      <c r="F185" s="8"/>
    </row>
    <row r="186" spans="3:6" x14ac:dyDescent="0.2">
      <c r="C186" s="12"/>
      <c r="D186" s="12"/>
      <c r="E186" s="5"/>
      <c r="F186" s="8"/>
    </row>
    <row r="187" spans="3:6" x14ac:dyDescent="0.2">
      <c r="C187" s="12"/>
      <c r="D187" s="12"/>
      <c r="E187" s="5"/>
      <c r="F187" s="8"/>
    </row>
    <row r="188" spans="3:6" x14ac:dyDescent="0.2">
      <c r="C188" s="12"/>
      <c r="D188" s="12"/>
      <c r="E188" s="5"/>
      <c r="F188" s="8"/>
    </row>
    <row r="189" spans="3:6" x14ac:dyDescent="0.2">
      <c r="C189" s="12"/>
      <c r="D189" s="12"/>
      <c r="E189" s="5"/>
      <c r="F189" s="8"/>
    </row>
    <row r="190" spans="3:6" x14ac:dyDescent="0.2">
      <c r="C190" s="12"/>
      <c r="D190" s="12"/>
      <c r="E190" s="5"/>
      <c r="F190" s="8"/>
    </row>
    <row r="191" spans="3:6" x14ac:dyDescent="0.2">
      <c r="C191" s="12"/>
      <c r="D191" s="12"/>
      <c r="E191" s="5"/>
      <c r="F191" s="8"/>
    </row>
    <row r="192" spans="3:6" x14ac:dyDescent="0.2">
      <c r="C192" s="12"/>
      <c r="D192" s="12"/>
      <c r="E192" s="5"/>
      <c r="F192" s="8"/>
    </row>
    <row r="193" spans="3:6" x14ac:dyDescent="0.2">
      <c r="C193" s="12"/>
      <c r="D193" s="12"/>
      <c r="E193" s="5"/>
      <c r="F193" s="8"/>
    </row>
    <row r="194" spans="3:6" x14ac:dyDescent="0.2">
      <c r="C194" s="12"/>
      <c r="D194" s="12"/>
      <c r="E194" s="5"/>
      <c r="F194" s="8"/>
    </row>
    <row r="195" spans="3:6" x14ac:dyDescent="0.2">
      <c r="C195" s="12"/>
      <c r="D195" s="12"/>
      <c r="E195" s="5"/>
      <c r="F195" s="8"/>
    </row>
    <row r="196" spans="3:6" x14ac:dyDescent="0.2">
      <c r="C196" s="12"/>
      <c r="D196" s="12"/>
      <c r="E196" s="5"/>
      <c r="F196" s="8"/>
    </row>
    <row r="197" spans="3:6" x14ac:dyDescent="0.2">
      <c r="C197" s="12"/>
      <c r="D197" s="12"/>
      <c r="E197" s="5"/>
      <c r="F197" s="8"/>
    </row>
    <row r="198" spans="3:6" x14ac:dyDescent="0.2">
      <c r="C198" s="12"/>
      <c r="D198" s="12"/>
      <c r="E198" s="5"/>
      <c r="F198" s="8"/>
    </row>
    <row r="199" spans="3:6" x14ac:dyDescent="0.2">
      <c r="C199" s="12"/>
      <c r="D199" s="12"/>
      <c r="E199" s="5"/>
      <c r="F199" s="8"/>
    </row>
    <row r="200" spans="3:6" x14ac:dyDescent="0.2">
      <c r="C200" s="12"/>
      <c r="D200" s="12"/>
      <c r="E200" s="5"/>
      <c r="F200" s="8"/>
    </row>
    <row r="201" spans="3:6" x14ac:dyDescent="0.2">
      <c r="C201" s="12"/>
      <c r="D201" s="12"/>
      <c r="E201" s="5"/>
      <c r="F201" s="8"/>
    </row>
    <row r="202" spans="3:6" x14ac:dyDescent="0.2">
      <c r="C202" s="12"/>
      <c r="D202" s="12"/>
      <c r="E202" s="5"/>
      <c r="F202" s="8"/>
    </row>
    <row r="203" spans="3:6" x14ac:dyDescent="0.2">
      <c r="C203" s="12"/>
      <c r="D203" s="12"/>
      <c r="E203" s="5"/>
      <c r="F203" s="8"/>
    </row>
    <row r="204" spans="3:6" x14ac:dyDescent="0.2">
      <c r="C204" s="12"/>
      <c r="D204" s="12"/>
      <c r="E204" s="5"/>
      <c r="F204" s="8"/>
    </row>
    <row r="205" spans="3:6" x14ac:dyDescent="0.2">
      <c r="C205" s="12"/>
      <c r="D205" s="12"/>
      <c r="E205" s="5"/>
      <c r="F205" s="8"/>
    </row>
    <row r="206" spans="3:6" x14ac:dyDescent="0.2">
      <c r="C206" s="12"/>
      <c r="D206" s="12"/>
      <c r="E206" s="5"/>
      <c r="F206" s="8"/>
    </row>
    <row r="207" spans="3:6" x14ac:dyDescent="0.2">
      <c r="C207" s="12"/>
      <c r="D207" s="12"/>
      <c r="E207" s="5"/>
      <c r="F207" s="8"/>
    </row>
    <row r="208" spans="3:6" x14ac:dyDescent="0.2">
      <c r="C208" s="12"/>
      <c r="D208" s="12"/>
      <c r="E208" s="5"/>
      <c r="F208" s="8"/>
    </row>
    <row r="209" spans="3:6" x14ac:dyDescent="0.2">
      <c r="C209" s="12"/>
      <c r="D209" s="12"/>
      <c r="E209" s="5"/>
      <c r="F209" s="8"/>
    </row>
    <row r="210" spans="3:6" x14ac:dyDescent="0.2">
      <c r="C210" s="12"/>
      <c r="D210" s="12"/>
      <c r="E210" s="5"/>
      <c r="F210" s="8"/>
    </row>
    <row r="211" spans="3:6" x14ac:dyDescent="0.2">
      <c r="C211" s="12"/>
      <c r="D211" s="12"/>
      <c r="E211" s="5"/>
      <c r="F211" s="8"/>
    </row>
    <row r="212" spans="3:6" x14ac:dyDescent="0.2">
      <c r="C212" s="12"/>
      <c r="D212" s="12"/>
      <c r="E212" s="5"/>
      <c r="F212" s="8"/>
    </row>
    <row r="213" spans="3:6" x14ac:dyDescent="0.2">
      <c r="C213" s="12"/>
      <c r="D213" s="12"/>
      <c r="E213" s="5"/>
      <c r="F213" s="8"/>
    </row>
    <row r="214" spans="3:6" x14ac:dyDescent="0.2">
      <c r="C214" s="12"/>
      <c r="D214" s="12"/>
      <c r="E214" s="5"/>
      <c r="F214" s="8"/>
    </row>
    <row r="215" spans="3:6" x14ac:dyDescent="0.2">
      <c r="C215" s="12"/>
      <c r="D215" s="12"/>
      <c r="E215" s="5"/>
      <c r="F215" s="8"/>
    </row>
    <row r="216" spans="3:6" x14ac:dyDescent="0.2">
      <c r="C216" s="12"/>
      <c r="D216" s="12"/>
      <c r="E216" s="5"/>
      <c r="F216" s="8"/>
    </row>
    <row r="217" spans="3:6" x14ac:dyDescent="0.2">
      <c r="C217" s="12"/>
      <c r="D217" s="12"/>
      <c r="E217" s="5"/>
      <c r="F217" s="8"/>
    </row>
    <row r="218" spans="3:6" x14ac:dyDescent="0.2">
      <c r="C218" s="12"/>
      <c r="D218" s="12"/>
      <c r="E218" s="5"/>
      <c r="F218" s="8"/>
    </row>
    <row r="219" spans="3:6" x14ac:dyDescent="0.2">
      <c r="C219" s="12"/>
      <c r="D219" s="12"/>
      <c r="E219" s="5"/>
      <c r="F219" s="8"/>
    </row>
    <row r="220" spans="3:6" x14ac:dyDescent="0.2">
      <c r="C220" s="12"/>
      <c r="D220" s="12"/>
      <c r="E220" s="5"/>
      <c r="F220" s="8"/>
    </row>
    <row r="221" spans="3:6" x14ac:dyDescent="0.2">
      <c r="C221" s="12"/>
      <c r="D221" s="12"/>
      <c r="E221" s="5"/>
      <c r="F221" s="8"/>
    </row>
    <row r="222" spans="3:6" x14ac:dyDescent="0.2">
      <c r="C222" s="12"/>
      <c r="D222" s="12"/>
      <c r="E222" s="5"/>
      <c r="F222" s="8"/>
    </row>
    <row r="223" spans="3:6" x14ac:dyDescent="0.2">
      <c r="C223" s="12"/>
      <c r="D223" s="12"/>
      <c r="E223" s="5"/>
      <c r="F223" s="8"/>
    </row>
    <row r="224" spans="3:6" x14ac:dyDescent="0.2">
      <c r="C224" s="12"/>
      <c r="D224" s="12"/>
      <c r="E224" s="5"/>
      <c r="F224" s="8"/>
    </row>
    <row r="225" spans="3:6" x14ac:dyDescent="0.2">
      <c r="C225" s="12"/>
      <c r="D225" s="12"/>
      <c r="E225" s="5"/>
      <c r="F225" s="8"/>
    </row>
    <row r="226" spans="3:6" x14ac:dyDescent="0.2">
      <c r="C226" s="12"/>
      <c r="D226" s="12"/>
      <c r="E226" s="5"/>
      <c r="F226" s="8"/>
    </row>
    <row r="227" spans="3:6" x14ac:dyDescent="0.2">
      <c r="C227" s="12"/>
      <c r="D227" s="12"/>
      <c r="E227" s="5"/>
      <c r="F227" s="8"/>
    </row>
    <row r="228" spans="3:6" x14ac:dyDescent="0.2">
      <c r="C228" s="12"/>
      <c r="D228" s="12"/>
      <c r="E228" s="5"/>
      <c r="F228" s="8"/>
    </row>
    <row r="229" spans="3:6" x14ac:dyDescent="0.2">
      <c r="C229" s="12"/>
      <c r="D229" s="12"/>
      <c r="E229" s="5"/>
      <c r="F229" s="8"/>
    </row>
    <row r="230" spans="3:6" x14ac:dyDescent="0.2">
      <c r="C230" s="12"/>
      <c r="D230" s="12"/>
      <c r="E230" s="5"/>
      <c r="F230" s="8"/>
    </row>
    <row r="231" spans="3:6" x14ac:dyDescent="0.2">
      <c r="C231" s="12"/>
      <c r="D231" s="12"/>
      <c r="E231" s="5"/>
      <c r="F231" s="8"/>
    </row>
    <row r="232" spans="3:6" x14ac:dyDescent="0.2">
      <c r="C232" s="12"/>
      <c r="D232" s="12"/>
      <c r="E232" s="5"/>
      <c r="F232" s="8"/>
    </row>
    <row r="233" spans="3:6" x14ac:dyDescent="0.2">
      <c r="C233" s="12"/>
      <c r="D233" s="12"/>
      <c r="E233" s="5"/>
      <c r="F233" s="8"/>
    </row>
    <row r="234" spans="3:6" x14ac:dyDescent="0.2">
      <c r="C234" s="12"/>
      <c r="D234" s="12"/>
      <c r="E234" s="5"/>
      <c r="F234" s="8"/>
    </row>
    <row r="235" spans="3:6" x14ac:dyDescent="0.2">
      <c r="C235" s="12"/>
      <c r="D235" s="12"/>
      <c r="E235" s="5"/>
      <c r="F235" s="8"/>
    </row>
    <row r="236" spans="3:6" x14ac:dyDescent="0.2">
      <c r="C236" s="12"/>
      <c r="D236" s="12"/>
      <c r="E236" s="5"/>
      <c r="F236" s="8"/>
    </row>
    <row r="237" spans="3:6" x14ac:dyDescent="0.2">
      <c r="C237" s="12"/>
      <c r="D237" s="12"/>
      <c r="E237" s="5"/>
      <c r="F237" s="8"/>
    </row>
    <row r="238" spans="3:6" x14ac:dyDescent="0.2">
      <c r="C238" s="12"/>
      <c r="D238" s="12"/>
      <c r="E238" s="5"/>
      <c r="F238" s="8"/>
    </row>
    <row r="239" spans="3:6" x14ac:dyDescent="0.2">
      <c r="C239" s="12"/>
      <c r="D239" s="12"/>
      <c r="E239" s="5"/>
      <c r="F239" s="8"/>
    </row>
    <row r="240" spans="3:6" x14ac:dyDescent="0.2">
      <c r="C240" s="12"/>
      <c r="D240" s="12"/>
      <c r="E240" s="5"/>
      <c r="F240" s="8"/>
    </row>
    <row r="241" spans="3:6" x14ac:dyDescent="0.2">
      <c r="C241" s="12"/>
      <c r="D241" s="12"/>
      <c r="E241" s="5"/>
      <c r="F241" s="8"/>
    </row>
    <row r="242" spans="3:6" x14ac:dyDescent="0.2">
      <c r="C242" s="12"/>
      <c r="D242" s="12"/>
      <c r="E242" s="5"/>
      <c r="F242" s="8"/>
    </row>
    <row r="243" spans="3:6" x14ac:dyDescent="0.2">
      <c r="C243" s="12"/>
      <c r="D243" s="12"/>
      <c r="E243" s="5"/>
      <c r="F243" s="8"/>
    </row>
    <row r="244" spans="3:6" x14ac:dyDescent="0.2">
      <c r="C244" s="12"/>
      <c r="D244" s="12"/>
      <c r="E244" s="5"/>
      <c r="F244" s="8"/>
    </row>
    <row r="245" spans="3:6" x14ac:dyDescent="0.2">
      <c r="C245" s="12"/>
      <c r="D245" s="12"/>
      <c r="E245" s="5"/>
      <c r="F245" s="8"/>
    </row>
    <row r="246" spans="3:6" x14ac:dyDescent="0.2">
      <c r="C246" s="12"/>
      <c r="D246" s="12"/>
      <c r="E246" s="5"/>
      <c r="F246" s="8"/>
    </row>
    <row r="247" spans="3:6" x14ac:dyDescent="0.2">
      <c r="C247" s="12"/>
      <c r="D247" s="12"/>
      <c r="E247" s="5"/>
      <c r="F247" s="8"/>
    </row>
    <row r="248" spans="3:6" x14ac:dyDescent="0.2">
      <c r="C248" s="12"/>
      <c r="D248" s="12"/>
      <c r="E248" s="5"/>
      <c r="F248" s="8"/>
    </row>
    <row r="249" spans="3:6" x14ac:dyDescent="0.2">
      <c r="C249" s="12"/>
      <c r="D249" s="12"/>
      <c r="E249" s="5"/>
      <c r="F249" s="8"/>
    </row>
    <row r="250" spans="3:6" x14ac:dyDescent="0.2">
      <c r="C250" s="12"/>
      <c r="D250" s="12"/>
      <c r="E250" s="5"/>
      <c r="F250" s="8"/>
    </row>
    <row r="251" spans="3:6" x14ac:dyDescent="0.2">
      <c r="C251" s="12"/>
      <c r="D251" s="12"/>
      <c r="E251" s="5"/>
      <c r="F251" s="8"/>
    </row>
    <row r="252" spans="3:6" x14ac:dyDescent="0.2">
      <c r="C252" s="12"/>
      <c r="D252" s="12"/>
      <c r="E252" s="5"/>
      <c r="F252" s="8"/>
    </row>
    <row r="253" spans="3:6" x14ac:dyDescent="0.2">
      <c r="C253" s="12"/>
      <c r="D253" s="12"/>
      <c r="E253" s="5"/>
      <c r="F253" s="8"/>
    </row>
    <row r="254" spans="3:6" x14ac:dyDescent="0.2">
      <c r="C254" s="12"/>
      <c r="D254" s="12"/>
      <c r="E254" s="5"/>
      <c r="F254" s="8"/>
    </row>
    <row r="255" spans="3:6" x14ac:dyDescent="0.2">
      <c r="C255" s="12"/>
      <c r="D255" s="12"/>
      <c r="E255" s="5"/>
      <c r="F255" s="8"/>
    </row>
    <row r="256" spans="3:6" x14ac:dyDescent="0.2">
      <c r="C256" s="12"/>
      <c r="D256" s="12"/>
      <c r="E256" s="5"/>
      <c r="F256" s="8"/>
    </row>
    <row r="257" spans="3:6" x14ac:dyDescent="0.2">
      <c r="C257" s="12"/>
      <c r="D257" s="12"/>
      <c r="E257" s="5"/>
      <c r="F257" s="8"/>
    </row>
    <row r="258" spans="3:6" x14ac:dyDescent="0.2">
      <c r="C258" s="12"/>
      <c r="D258" s="12"/>
      <c r="E258" s="5"/>
      <c r="F258" s="8"/>
    </row>
    <row r="259" spans="3:6" x14ac:dyDescent="0.2">
      <c r="C259" s="12"/>
      <c r="D259" s="12"/>
      <c r="E259" s="5"/>
      <c r="F259" s="8"/>
    </row>
    <row r="260" spans="3:6" x14ac:dyDescent="0.2">
      <c r="C260" s="12"/>
      <c r="D260" s="12"/>
      <c r="E260" s="5"/>
      <c r="F260" s="8"/>
    </row>
    <row r="261" spans="3:6" x14ac:dyDescent="0.2">
      <c r="C261" s="12"/>
      <c r="D261" s="12"/>
      <c r="E261" s="5"/>
      <c r="F261" s="8"/>
    </row>
    <row r="262" spans="3:6" x14ac:dyDescent="0.2">
      <c r="C262" s="12"/>
      <c r="D262" s="12"/>
      <c r="E262" s="5"/>
      <c r="F262" s="8"/>
    </row>
    <row r="263" spans="3:6" x14ac:dyDescent="0.2">
      <c r="C263" s="12"/>
      <c r="D263" s="12"/>
      <c r="E263" s="5"/>
      <c r="F263" s="8"/>
    </row>
    <row r="264" spans="3:6" x14ac:dyDescent="0.2">
      <c r="C264" s="12"/>
      <c r="D264" s="12"/>
      <c r="E264" s="5"/>
      <c r="F264" s="8"/>
    </row>
    <row r="265" spans="3:6" x14ac:dyDescent="0.2">
      <c r="C265" s="12"/>
      <c r="D265" s="12"/>
      <c r="E265" s="5"/>
      <c r="F265" s="8"/>
    </row>
    <row r="266" spans="3:6" x14ac:dyDescent="0.2">
      <c r="C266" s="12"/>
      <c r="D266" s="12"/>
      <c r="E266" s="5"/>
      <c r="F266" s="8"/>
    </row>
    <row r="267" spans="3:6" x14ac:dyDescent="0.2">
      <c r="C267" s="12"/>
      <c r="D267" s="12"/>
      <c r="E267" s="5"/>
      <c r="F267" s="8"/>
    </row>
    <row r="268" spans="3:6" x14ac:dyDescent="0.2">
      <c r="C268" s="12"/>
      <c r="D268" s="12"/>
      <c r="E268" s="5"/>
      <c r="F268" s="8"/>
    </row>
    <row r="269" spans="3:6" x14ac:dyDescent="0.2">
      <c r="C269" s="12"/>
      <c r="D269" s="12"/>
      <c r="E269" s="5"/>
      <c r="F269" s="8"/>
    </row>
    <row r="270" spans="3:6" x14ac:dyDescent="0.2">
      <c r="C270" s="12"/>
      <c r="D270" s="12"/>
      <c r="E270" s="5"/>
      <c r="F270" s="8"/>
    </row>
    <row r="271" spans="3:6" x14ac:dyDescent="0.2">
      <c r="C271" s="12"/>
      <c r="D271" s="12"/>
      <c r="E271" s="5"/>
      <c r="F271" s="8"/>
    </row>
    <row r="272" spans="3:6" x14ac:dyDescent="0.2">
      <c r="C272" s="12"/>
      <c r="D272" s="12"/>
      <c r="E272" s="5"/>
      <c r="F272" s="8"/>
    </row>
    <row r="273" spans="3:6" x14ac:dyDescent="0.2">
      <c r="C273" s="12"/>
      <c r="D273" s="12"/>
      <c r="E273" s="5"/>
      <c r="F273" s="8"/>
    </row>
    <row r="274" spans="3:6" x14ac:dyDescent="0.2">
      <c r="C274" s="12"/>
      <c r="D274" s="12"/>
      <c r="E274" s="5"/>
      <c r="F274" s="8"/>
    </row>
    <row r="275" spans="3:6" x14ac:dyDescent="0.2">
      <c r="C275" s="12"/>
      <c r="D275" s="12"/>
      <c r="E275" s="5"/>
      <c r="F275" s="8"/>
    </row>
    <row r="276" spans="3:6" x14ac:dyDescent="0.2">
      <c r="C276" s="12"/>
      <c r="D276" s="12"/>
      <c r="E276" s="5"/>
      <c r="F276" s="8"/>
    </row>
    <row r="277" spans="3:6" x14ac:dyDescent="0.2">
      <c r="C277" s="12"/>
      <c r="D277" s="12"/>
      <c r="E277" s="5"/>
      <c r="F277" s="8"/>
    </row>
    <row r="278" spans="3:6" x14ac:dyDescent="0.2">
      <c r="C278" s="12"/>
      <c r="D278" s="12"/>
      <c r="E278" s="5"/>
      <c r="F278" s="8"/>
    </row>
    <row r="279" spans="3:6" x14ac:dyDescent="0.2">
      <c r="C279" s="12"/>
      <c r="D279" s="12"/>
      <c r="E279" s="5"/>
      <c r="F279" s="8"/>
    </row>
    <row r="280" spans="3:6" x14ac:dyDescent="0.2">
      <c r="C280" s="12"/>
      <c r="D280" s="12"/>
      <c r="E280" s="5"/>
      <c r="F280" s="8"/>
    </row>
    <row r="281" spans="3:6" x14ac:dyDescent="0.2">
      <c r="C281" s="12"/>
      <c r="D281" s="12"/>
      <c r="E281" s="5"/>
      <c r="F281" s="8"/>
    </row>
    <row r="282" spans="3:6" x14ac:dyDescent="0.2">
      <c r="C282" s="12"/>
      <c r="D282" s="12"/>
      <c r="E282" s="5"/>
      <c r="F282" s="8"/>
    </row>
    <row r="283" spans="3:6" x14ac:dyDescent="0.2">
      <c r="C283" s="12"/>
      <c r="D283" s="12"/>
      <c r="E283" s="5"/>
      <c r="F283" s="8"/>
    </row>
    <row r="284" spans="3:6" x14ac:dyDescent="0.2">
      <c r="C284" s="12"/>
      <c r="D284" s="12"/>
      <c r="E284" s="5"/>
      <c r="F284" s="8"/>
    </row>
    <row r="285" spans="3:6" x14ac:dyDescent="0.2">
      <c r="C285" s="12"/>
      <c r="D285" s="12"/>
      <c r="E285" s="5"/>
      <c r="F285" s="8"/>
    </row>
    <row r="286" spans="3:6" x14ac:dyDescent="0.2">
      <c r="C286" s="12"/>
      <c r="D286" s="12"/>
      <c r="E286" s="5"/>
      <c r="F286" s="8"/>
    </row>
    <row r="287" spans="3:6" x14ac:dyDescent="0.2">
      <c r="C287" s="12"/>
      <c r="D287" s="12"/>
      <c r="E287" s="5"/>
      <c r="F287" s="8"/>
    </row>
    <row r="288" spans="3:6" x14ac:dyDescent="0.2">
      <c r="C288" s="12"/>
      <c r="D288" s="12"/>
      <c r="E288" s="5"/>
      <c r="F288" s="8"/>
    </row>
    <row r="289" spans="3:6" x14ac:dyDescent="0.2">
      <c r="C289" s="12"/>
      <c r="D289" s="12"/>
      <c r="E289" s="5"/>
      <c r="F289" s="8"/>
    </row>
    <row r="290" spans="3:6" x14ac:dyDescent="0.2">
      <c r="C290" s="12"/>
      <c r="D290" s="12"/>
      <c r="E290" s="5"/>
      <c r="F290" s="8"/>
    </row>
    <row r="291" spans="3:6" x14ac:dyDescent="0.2">
      <c r="C291" s="12"/>
      <c r="D291" s="12"/>
      <c r="E291" s="5"/>
      <c r="F291" s="8"/>
    </row>
    <row r="292" spans="3:6" x14ac:dyDescent="0.2">
      <c r="C292" s="12"/>
      <c r="D292" s="12"/>
      <c r="E292" s="5"/>
      <c r="F292" s="8"/>
    </row>
    <row r="293" spans="3:6" x14ac:dyDescent="0.2">
      <c r="C293" s="12"/>
      <c r="D293" s="12"/>
      <c r="E293" s="5"/>
      <c r="F293" s="8"/>
    </row>
    <row r="294" spans="3:6" x14ac:dyDescent="0.2">
      <c r="C294" s="12"/>
      <c r="D294" s="12"/>
      <c r="E294" s="5"/>
      <c r="F294" s="8"/>
    </row>
    <row r="295" spans="3:6" x14ac:dyDescent="0.2">
      <c r="C295" s="12"/>
      <c r="D295" s="12"/>
      <c r="E295" s="5"/>
      <c r="F295" s="8"/>
    </row>
    <row r="296" spans="3:6" x14ac:dyDescent="0.2">
      <c r="C296" s="12"/>
      <c r="D296" s="12"/>
      <c r="E296" s="5"/>
      <c r="F296" s="8"/>
    </row>
    <row r="297" spans="3:6" x14ac:dyDescent="0.2">
      <c r="C297" s="12"/>
      <c r="D297" s="12"/>
      <c r="E297" s="5"/>
      <c r="F297" s="8"/>
    </row>
    <row r="298" spans="3:6" x14ac:dyDescent="0.2">
      <c r="C298" s="12"/>
      <c r="D298" s="12"/>
      <c r="E298" s="5"/>
      <c r="F298" s="8"/>
    </row>
    <row r="299" spans="3:6" x14ac:dyDescent="0.2">
      <c r="C299" s="12"/>
      <c r="D299" s="12"/>
      <c r="E299" s="5"/>
      <c r="F299" s="8"/>
    </row>
    <row r="300" spans="3:6" x14ac:dyDescent="0.2">
      <c r="C300" s="12"/>
      <c r="D300" s="12"/>
      <c r="E300" s="5"/>
      <c r="F300" s="8"/>
    </row>
    <row r="301" spans="3:6" x14ac:dyDescent="0.2">
      <c r="C301" s="12"/>
      <c r="D301" s="12"/>
      <c r="E301" s="5"/>
      <c r="F301" s="8"/>
    </row>
    <row r="302" spans="3:6" x14ac:dyDescent="0.2">
      <c r="C302" s="12"/>
      <c r="D302" s="12"/>
      <c r="E302" s="5"/>
      <c r="F302" s="8"/>
    </row>
    <row r="303" spans="3:6" x14ac:dyDescent="0.2">
      <c r="C303" s="12"/>
      <c r="D303" s="12"/>
      <c r="E303" s="5"/>
      <c r="F303" s="8"/>
    </row>
    <row r="304" spans="3:6" x14ac:dyDescent="0.2">
      <c r="C304" s="12"/>
      <c r="D304" s="12"/>
      <c r="E304" s="5"/>
      <c r="F304" s="8"/>
    </row>
    <row r="305" spans="3:6" x14ac:dyDescent="0.2">
      <c r="C305" s="12"/>
      <c r="D305" s="12"/>
      <c r="E305" s="5"/>
      <c r="F305" s="8"/>
    </row>
    <row r="306" spans="3:6" x14ac:dyDescent="0.2">
      <c r="C306" s="12"/>
      <c r="D306" s="12"/>
      <c r="E306" s="5"/>
      <c r="F306" s="8"/>
    </row>
    <row r="307" spans="3:6" x14ac:dyDescent="0.2">
      <c r="C307" s="12"/>
      <c r="D307" s="12"/>
      <c r="E307" s="5"/>
      <c r="F307" s="8"/>
    </row>
    <row r="308" spans="3:6" x14ac:dyDescent="0.2">
      <c r="C308" s="12"/>
      <c r="D308" s="12"/>
      <c r="E308" s="5"/>
      <c r="F308" s="8"/>
    </row>
    <row r="309" spans="3:6" x14ac:dyDescent="0.2">
      <c r="C309" s="12"/>
      <c r="D309" s="12"/>
      <c r="E309" s="5"/>
      <c r="F309" s="8"/>
    </row>
    <row r="310" spans="3:6" x14ac:dyDescent="0.2">
      <c r="C310" s="12"/>
      <c r="D310" s="12"/>
      <c r="E310" s="5"/>
      <c r="F310" s="8"/>
    </row>
    <row r="311" spans="3:6" x14ac:dyDescent="0.2">
      <c r="C311" s="12"/>
      <c r="D311" s="12"/>
      <c r="E311" s="5"/>
      <c r="F311" s="8"/>
    </row>
    <row r="312" spans="3:6" x14ac:dyDescent="0.2">
      <c r="C312" s="12"/>
      <c r="D312" s="12"/>
      <c r="E312" s="5"/>
      <c r="F312" s="8"/>
    </row>
    <row r="313" spans="3:6" x14ac:dyDescent="0.2">
      <c r="C313" s="12"/>
      <c r="D313" s="12"/>
      <c r="E313" s="5"/>
      <c r="F313" s="8"/>
    </row>
    <row r="314" spans="3:6" x14ac:dyDescent="0.2">
      <c r="C314" s="12"/>
      <c r="D314" s="12"/>
      <c r="E314" s="5"/>
      <c r="F314" s="8"/>
    </row>
    <row r="315" spans="3:6" x14ac:dyDescent="0.2">
      <c r="C315" s="12"/>
      <c r="D315" s="12"/>
      <c r="E315" s="5"/>
      <c r="F315" s="8"/>
    </row>
    <row r="316" spans="3:6" x14ac:dyDescent="0.2">
      <c r="C316" s="12"/>
      <c r="D316" s="12"/>
      <c r="E316" s="5"/>
      <c r="F316" s="8"/>
    </row>
    <row r="317" spans="3:6" x14ac:dyDescent="0.2">
      <c r="C317" s="12"/>
      <c r="D317" s="12"/>
      <c r="E317" s="5"/>
      <c r="F317" s="8"/>
    </row>
    <row r="318" spans="3:6" x14ac:dyDescent="0.2">
      <c r="C318" s="12"/>
      <c r="D318" s="12"/>
      <c r="E318" s="5"/>
      <c r="F318" s="8"/>
    </row>
    <row r="319" spans="3:6" x14ac:dyDescent="0.2">
      <c r="C319" s="12"/>
      <c r="D319" s="12"/>
      <c r="E319" s="5"/>
      <c r="F319" s="8"/>
    </row>
    <row r="320" spans="3:6" x14ac:dyDescent="0.2">
      <c r="C320" s="12"/>
      <c r="D320" s="12"/>
      <c r="E320" s="5"/>
      <c r="F320" s="8"/>
    </row>
    <row r="321" spans="3:6" x14ac:dyDescent="0.2">
      <c r="C321" s="12"/>
      <c r="D321" s="12"/>
      <c r="E321" s="5"/>
      <c r="F321" s="8"/>
    </row>
    <row r="322" spans="3:6" x14ac:dyDescent="0.2">
      <c r="C322" s="12"/>
      <c r="D322" s="12"/>
      <c r="E322" s="5"/>
      <c r="F322" s="8"/>
    </row>
    <row r="323" spans="3:6" x14ac:dyDescent="0.2">
      <c r="C323" s="12"/>
      <c r="D323" s="12"/>
      <c r="E323" s="5"/>
      <c r="F323" s="8"/>
    </row>
    <row r="324" spans="3:6" x14ac:dyDescent="0.2">
      <c r="C324" s="12"/>
      <c r="D324" s="12"/>
      <c r="E324" s="5"/>
      <c r="F324" s="8"/>
    </row>
    <row r="325" spans="3:6" x14ac:dyDescent="0.2">
      <c r="C325" s="12"/>
      <c r="D325" s="12"/>
      <c r="E325" s="5"/>
      <c r="F325" s="8"/>
    </row>
    <row r="326" spans="3:6" x14ac:dyDescent="0.2">
      <c r="C326" s="12"/>
      <c r="D326" s="12"/>
      <c r="E326" s="5"/>
      <c r="F326" s="8"/>
    </row>
    <row r="327" spans="3:6" x14ac:dyDescent="0.2">
      <c r="C327" s="12"/>
      <c r="D327" s="12"/>
      <c r="E327" s="5"/>
      <c r="F327" s="8"/>
    </row>
    <row r="328" spans="3:6" x14ac:dyDescent="0.2">
      <c r="C328" s="12"/>
      <c r="D328" s="12"/>
      <c r="E328" s="5"/>
      <c r="F328" s="8"/>
    </row>
    <row r="329" spans="3:6" x14ac:dyDescent="0.2">
      <c r="C329" s="12"/>
      <c r="D329" s="12"/>
      <c r="E329" s="5"/>
      <c r="F329" s="8"/>
    </row>
    <row r="330" spans="3:6" x14ac:dyDescent="0.2">
      <c r="C330" s="12"/>
      <c r="D330" s="12"/>
      <c r="E330" s="5"/>
      <c r="F330" s="8"/>
    </row>
    <row r="331" spans="3:6" x14ac:dyDescent="0.2">
      <c r="C331" s="12"/>
      <c r="D331" s="12"/>
      <c r="E331" s="5"/>
      <c r="F331" s="8"/>
    </row>
    <row r="332" spans="3:6" x14ac:dyDescent="0.2">
      <c r="C332" s="12"/>
      <c r="D332" s="12"/>
      <c r="E332" s="5"/>
      <c r="F332" s="8"/>
    </row>
    <row r="333" spans="3:6" x14ac:dyDescent="0.2">
      <c r="C333" s="12"/>
      <c r="D333" s="12"/>
      <c r="E333" s="5"/>
      <c r="F333" s="8"/>
    </row>
    <row r="334" spans="3:6" x14ac:dyDescent="0.2">
      <c r="C334" s="12"/>
      <c r="D334" s="12"/>
      <c r="E334" s="5"/>
      <c r="F334" s="8"/>
    </row>
    <row r="335" spans="3:6" x14ac:dyDescent="0.2">
      <c r="C335" s="12"/>
      <c r="D335" s="12"/>
      <c r="E335" s="5"/>
      <c r="F335" s="8"/>
    </row>
    <row r="336" spans="3:6" x14ac:dyDescent="0.2">
      <c r="C336" s="12"/>
      <c r="D336" s="12"/>
      <c r="E336" s="5"/>
      <c r="F336" s="8"/>
    </row>
    <row r="337" spans="3:6" x14ac:dyDescent="0.2">
      <c r="C337" s="12"/>
      <c r="D337" s="12"/>
      <c r="E337" s="5"/>
      <c r="F337" s="8"/>
    </row>
    <row r="338" spans="3:6" x14ac:dyDescent="0.2">
      <c r="C338" s="12"/>
      <c r="D338" s="12"/>
      <c r="E338" s="5"/>
      <c r="F338" s="8"/>
    </row>
    <row r="339" spans="3:6" x14ac:dyDescent="0.2">
      <c r="C339" s="12"/>
      <c r="D339" s="12"/>
      <c r="E339" s="5"/>
      <c r="F339" s="8"/>
    </row>
    <row r="340" spans="3:6" x14ac:dyDescent="0.2">
      <c r="C340" s="12"/>
      <c r="D340" s="12"/>
      <c r="E340" s="5"/>
      <c r="F340" s="8"/>
    </row>
    <row r="341" spans="3:6" x14ac:dyDescent="0.2">
      <c r="C341" s="12"/>
      <c r="D341" s="12"/>
      <c r="E341" s="5"/>
      <c r="F341" s="8"/>
    </row>
    <row r="342" spans="3:6" x14ac:dyDescent="0.2">
      <c r="C342" s="12"/>
      <c r="D342" s="12"/>
      <c r="E342" s="5"/>
      <c r="F342" s="8"/>
    </row>
    <row r="343" spans="3:6" x14ac:dyDescent="0.2">
      <c r="C343" s="12"/>
      <c r="D343" s="12"/>
      <c r="E343" s="5"/>
      <c r="F343" s="8"/>
    </row>
    <row r="344" spans="3:6" x14ac:dyDescent="0.2">
      <c r="C344" s="12"/>
      <c r="D344" s="12"/>
      <c r="E344" s="5"/>
      <c r="F344" s="8"/>
    </row>
    <row r="345" spans="3:6" x14ac:dyDescent="0.2">
      <c r="C345" s="12"/>
      <c r="D345" s="12"/>
      <c r="E345" s="5"/>
      <c r="F345" s="8"/>
    </row>
    <row r="346" spans="3:6" x14ac:dyDescent="0.2">
      <c r="C346" s="12"/>
      <c r="D346" s="12"/>
      <c r="E346" s="5"/>
      <c r="F346" s="8"/>
    </row>
    <row r="347" spans="3:6" x14ac:dyDescent="0.2">
      <c r="C347" s="12"/>
      <c r="D347" s="12"/>
      <c r="E347" s="5"/>
      <c r="F347" s="8"/>
    </row>
    <row r="348" spans="3:6" x14ac:dyDescent="0.2">
      <c r="C348" s="12"/>
      <c r="D348" s="12"/>
      <c r="E348" s="5"/>
      <c r="F348" s="8"/>
    </row>
    <row r="349" spans="3:6" x14ac:dyDescent="0.2">
      <c r="C349" s="12"/>
      <c r="D349" s="12"/>
      <c r="E349" s="5"/>
      <c r="F349" s="8"/>
    </row>
    <row r="350" spans="3:6" x14ac:dyDescent="0.2">
      <c r="C350" s="12"/>
      <c r="D350" s="12"/>
      <c r="E350" s="5"/>
      <c r="F350" s="8"/>
    </row>
    <row r="351" spans="3:6" x14ac:dyDescent="0.2">
      <c r="C351" s="12"/>
      <c r="D351" s="12"/>
      <c r="E351" s="5"/>
      <c r="F351" s="8"/>
    </row>
    <row r="352" spans="3:6" x14ac:dyDescent="0.2">
      <c r="C352" s="12"/>
      <c r="D352" s="12"/>
      <c r="E352" s="5"/>
      <c r="F352" s="8"/>
    </row>
    <row r="353" spans="3:6" x14ac:dyDescent="0.2">
      <c r="C353" s="12"/>
      <c r="D353" s="12"/>
      <c r="E353" s="5"/>
      <c r="F353" s="8"/>
    </row>
    <row r="354" spans="3:6" x14ac:dyDescent="0.2">
      <c r="C354" s="12"/>
      <c r="D354" s="12"/>
      <c r="E354" s="5"/>
      <c r="F354" s="8"/>
    </row>
    <row r="355" spans="3:6" x14ac:dyDescent="0.2">
      <c r="C355" s="12"/>
      <c r="D355" s="12"/>
      <c r="E355" s="5"/>
      <c r="F355" s="8"/>
    </row>
    <row r="356" spans="3:6" x14ac:dyDescent="0.2">
      <c r="C356" s="12"/>
      <c r="D356" s="12"/>
      <c r="E356" s="5"/>
      <c r="F356" s="8"/>
    </row>
    <row r="357" spans="3:6" x14ac:dyDescent="0.2">
      <c r="C357" s="12"/>
      <c r="D357" s="12"/>
      <c r="E357" s="5"/>
      <c r="F357" s="8"/>
    </row>
    <row r="358" spans="3:6" x14ac:dyDescent="0.2">
      <c r="C358" s="12"/>
      <c r="D358" s="12"/>
      <c r="E358" s="5"/>
      <c r="F358" s="8"/>
    </row>
    <row r="359" spans="3:6" x14ac:dyDescent="0.2">
      <c r="C359" s="12"/>
      <c r="D359" s="12"/>
      <c r="E359" s="5"/>
      <c r="F359" s="8"/>
    </row>
    <row r="360" spans="3:6" x14ac:dyDescent="0.2">
      <c r="C360" s="12"/>
      <c r="D360" s="12"/>
      <c r="E360" s="5"/>
      <c r="F360" s="8"/>
    </row>
    <row r="361" spans="3:6" x14ac:dyDescent="0.2">
      <c r="C361" s="12"/>
      <c r="D361" s="12"/>
      <c r="E361" s="5"/>
      <c r="F361" s="8"/>
    </row>
    <row r="362" spans="3:6" x14ac:dyDescent="0.2">
      <c r="C362" s="12"/>
      <c r="D362" s="12"/>
      <c r="E362" s="5"/>
      <c r="F362" s="8"/>
    </row>
    <row r="363" spans="3:6" x14ac:dyDescent="0.2">
      <c r="C363" s="12"/>
      <c r="D363" s="12"/>
      <c r="E363" s="5"/>
      <c r="F363" s="8"/>
    </row>
    <row r="364" spans="3:6" x14ac:dyDescent="0.2">
      <c r="C364" s="12"/>
      <c r="D364" s="12"/>
      <c r="E364" s="5"/>
      <c r="F364" s="8"/>
    </row>
    <row r="365" spans="3:6" x14ac:dyDescent="0.2">
      <c r="C365" s="12"/>
      <c r="D365" s="12"/>
      <c r="E365" s="5"/>
      <c r="F365" s="8"/>
    </row>
    <row r="366" spans="3:6" x14ac:dyDescent="0.2">
      <c r="C366" s="12"/>
      <c r="D366" s="12"/>
      <c r="E366" s="5"/>
      <c r="F366" s="8"/>
    </row>
    <row r="367" spans="3:6" x14ac:dyDescent="0.2">
      <c r="C367" s="12"/>
      <c r="D367" s="12"/>
      <c r="E367" s="5"/>
      <c r="F367" s="8"/>
    </row>
    <row r="368" spans="3:6" x14ac:dyDescent="0.2">
      <c r="C368" s="12"/>
      <c r="D368" s="12"/>
      <c r="E368" s="5"/>
      <c r="F368" s="8"/>
    </row>
    <row r="369" spans="3:6" x14ac:dyDescent="0.2">
      <c r="C369" s="12"/>
      <c r="D369" s="12"/>
      <c r="E369" s="5"/>
      <c r="F369" s="8"/>
    </row>
    <row r="370" spans="3:6" x14ac:dyDescent="0.2">
      <c r="C370" s="12"/>
      <c r="D370" s="12"/>
      <c r="E370" s="5"/>
      <c r="F370" s="8"/>
    </row>
    <row r="371" spans="3:6" x14ac:dyDescent="0.2">
      <c r="C371" s="12"/>
      <c r="D371" s="12"/>
      <c r="E371" s="5"/>
      <c r="F371" s="8"/>
    </row>
    <row r="372" spans="3:6" x14ac:dyDescent="0.2">
      <c r="C372" s="12"/>
      <c r="D372" s="12"/>
      <c r="E372" s="5"/>
      <c r="F372" s="8"/>
    </row>
    <row r="373" spans="3:6" x14ac:dyDescent="0.2">
      <c r="C373" s="12"/>
      <c r="D373" s="12"/>
      <c r="E373" s="5"/>
      <c r="F373" s="8"/>
    </row>
    <row r="374" spans="3:6" x14ac:dyDescent="0.2">
      <c r="C374" s="12"/>
      <c r="D374" s="12"/>
      <c r="E374" s="5"/>
      <c r="F374" s="8"/>
    </row>
    <row r="375" spans="3:6" x14ac:dyDescent="0.2">
      <c r="C375" s="12"/>
      <c r="D375" s="12"/>
      <c r="E375" s="5"/>
      <c r="F375" s="8"/>
    </row>
    <row r="376" spans="3:6" x14ac:dyDescent="0.2">
      <c r="C376" s="12"/>
      <c r="D376" s="12"/>
      <c r="E376" s="5"/>
      <c r="F376" s="8"/>
    </row>
    <row r="377" spans="3:6" x14ac:dyDescent="0.2">
      <c r="C377" s="12"/>
      <c r="D377" s="12"/>
      <c r="E377" s="5"/>
      <c r="F377" s="8"/>
    </row>
    <row r="378" spans="3:6" x14ac:dyDescent="0.2">
      <c r="C378" s="12"/>
      <c r="D378" s="12"/>
      <c r="E378" s="5"/>
      <c r="F378" s="8"/>
    </row>
    <row r="379" spans="3:6" x14ac:dyDescent="0.2">
      <c r="C379" s="12"/>
      <c r="D379" s="12"/>
      <c r="E379" s="5"/>
      <c r="F379" s="8"/>
    </row>
    <row r="380" spans="3:6" x14ac:dyDescent="0.2">
      <c r="C380" s="12"/>
      <c r="D380" s="12"/>
      <c r="E380" s="5"/>
      <c r="F380" s="8"/>
    </row>
    <row r="381" spans="3:6" x14ac:dyDescent="0.2">
      <c r="C381" s="12"/>
      <c r="D381" s="12"/>
      <c r="E381" s="5"/>
      <c r="F381" s="8"/>
    </row>
    <row r="382" spans="3:6" x14ac:dyDescent="0.2">
      <c r="C382" s="12"/>
      <c r="D382" s="12"/>
      <c r="E382" s="5"/>
      <c r="F382" s="8"/>
    </row>
    <row r="383" spans="3:6" x14ac:dyDescent="0.2">
      <c r="C383" s="12"/>
      <c r="D383" s="12"/>
      <c r="E383" s="5"/>
      <c r="F383" s="8"/>
    </row>
    <row r="384" spans="3:6" x14ac:dyDescent="0.2">
      <c r="C384" s="12"/>
      <c r="D384" s="12"/>
      <c r="E384" s="5"/>
      <c r="F384" s="8"/>
    </row>
    <row r="385" spans="3:6" x14ac:dyDescent="0.2">
      <c r="C385" s="12"/>
      <c r="D385" s="12"/>
      <c r="E385" s="5"/>
      <c r="F385" s="8"/>
    </row>
    <row r="386" spans="3:6" x14ac:dyDescent="0.2">
      <c r="C386" s="12"/>
      <c r="D386" s="12"/>
      <c r="E386" s="5"/>
      <c r="F386" s="8"/>
    </row>
    <row r="387" spans="3:6" x14ac:dyDescent="0.2">
      <c r="C387" s="12"/>
      <c r="D387" s="12"/>
      <c r="E387" s="5"/>
      <c r="F387" s="8"/>
    </row>
    <row r="388" spans="3:6" x14ac:dyDescent="0.2">
      <c r="C388" s="12"/>
      <c r="D388" s="12"/>
      <c r="E388" s="5"/>
      <c r="F388" s="8"/>
    </row>
    <row r="389" spans="3:6" x14ac:dyDescent="0.2">
      <c r="C389" s="12"/>
      <c r="D389" s="12"/>
      <c r="E389" s="5"/>
      <c r="F389" s="8"/>
    </row>
    <row r="390" spans="3:6" x14ac:dyDescent="0.2">
      <c r="C390" s="12"/>
      <c r="D390" s="12"/>
      <c r="E390" s="5"/>
      <c r="F390" s="8"/>
    </row>
    <row r="391" spans="3:6" x14ac:dyDescent="0.2">
      <c r="C391" s="12"/>
      <c r="D391" s="12"/>
      <c r="E391" s="5"/>
      <c r="F391" s="8"/>
    </row>
    <row r="392" spans="3:6" x14ac:dyDescent="0.2">
      <c r="C392" s="12"/>
      <c r="D392" s="12"/>
      <c r="E392" s="5"/>
      <c r="F392" s="8"/>
    </row>
    <row r="393" spans="3:6" x14ac:dyDescent="0.2">
      <c r="C393" s="12"/>
      <c r="D393" s="12"/>
      <c r="E393" s="5"/>
      <c r="F393" s="8"/>
    </row>
    <row r="394" spans="3:6" x14ac:dyDescent="0.2">
      <c r="C394" s="12"/>
      <c r="D394" s="12"/>
      <c r="E394" s="5"/>
      <c r="F394" s="8"/>
    </row>
    <row r="395" spans="3:6" x14ac:dyDescent="0.2">
      <c r="C395" s="12"/>
      <c r="D395" s="12"/>
      <c r="E395" s="5"/>
      <c r="F395" s="8"/>
    </row>
    <row r="396" spans="3:6" x14ac:dyDescent="0.2">
      <c r="C396" s="12"/>
      <c r="D396" s="12"/>
      <c r="E396" s="5"/>
      <c r="F396" s="8"/>
    </row>
    <row r="397" spans="3:6" x14ac:dyDescent="0.2">
      <c r="C397" s="12"/>
      <c r="D397" s="12"/>
      <c r="E397" s="5"/>
      <c r="F397" s="8"/>
    </row>
    <row r="398" spans="3:6" x14ac:dyDescent="0.2">
      <c r="C398" s="12"/>
      <c r="D398" s="12"/>
      <c r="E398" s="5"/>
      <c r="F398" s="8"/>
    </row>
    <row r="399" spans="3:6" x14ac:dyDescent="0.2">
      <c r="C399" s="12"/>
      <c r="D399" s="12"/>
      <c r="E399" s="5"/>
      <c r="F399" s="8"/>
    </row>
    <row r="400" spans="3:6" x14ac:dyDescent="0.2">
      <c r="C400" s="12"/>
      <c r="D400" s="12"/>
      <c r="E400" s="5"/>
      <c r="F400" s="8"/>
    </row>
    <row r="401" spans="3:6" x14ac:dyDescent="0.2">
      <c r="C401" s="12"/>
      <c r="D401" s="12"/>
      <c r="E401" s="5"/>
      <c r="F401" s="8"/>
    </row>
    <row r="402" spans="3:6" x14ac:dyDescent="0.2">
      <c r="C402" s="12"/>
      <c r="D402" s="12"/>
      <c r="E402" s="5"/>
      <c r="F402" s="8"/>
    </row>
    <row r="403" spans="3:6" x14ac:dyDescent="0.2">
      <c r="C403" s="12"/>
      <c r="D403" s="12"/>
      <c r="E403" s="5"/>
      <c r="F403" s="8"/>
    </row>
    <row r="404" spans="3:6" x14ac:dyDescent="0.2">
      <c r="C404" s="12"/>
      <c r="D404" s="12"/>
      <c r="E404" s="5"/>
      <c r="F404" s="8"/>
    </row>
    <row r="405" spans="3:6" x14ac:dyDescent="0.2">
      <c r="C405" s="12"/>
      <c r="D405" s="12"/>
      <c r="E405" s="5"/>
      <c r="F405" s="8"/>
    </row>
    <row r="406" spans="3:6" x14ac:dyDescent="0.2">
      <c r="C406" s="12"/>
      <c r="D406" s="12"/>
      <c r="E406" s="5"/>
      <c r="F406" s="8"/>
    </row>
    <row r="407" spans="3:6" x14ac:dyDescent="0.2">
      <c r="C407" s="12"/>
      <c r="D407" s="12"/>
      <c r="E407" s="5"/>
      <c r="F407" s="8"/>
    </row>
    <row r="408" spans="3:6" x14ac:dyDescent="0.2">
      <c r="C408" s="12"/>
      <c r="D408" s="12"/>
      <c r="E408" s="5"/>
      <c r="F408" s="8"/>
    </row>
    <row r="409" spans="3:6" x14ac:dyDescent="0.2">
      <c r="C409" s="12"/>
      <c r="D409" s="12"/>
      <c r="E409" s="5"/>
      <c r="F409" s="8"/>
    </row>
    <row r="410" spans="3:6" x14ac:dyDescent="0.2">
      <c r="C410" s="12"/>
      <c r="D410" s="12"/>
      <c r="E410" s="5"/>
      <c r="F410" s="8"/>
    </row>
    <row r="411" spans="3:6" x14ac:dyDescent="0.2">
      <c r="C411" s="12"/>
      <c r="D411" s="12"/>
      <c r="E411" s="5"/>
      <c r="F411" s="8"/>
    </row>
    <row r="412" spans="3:6" x14ac:dyDescent="0.2">
      <c r="C412" s="12"/>
      <c r="D412" s="12"/>
      <c r="E412" s="5"/>
      <c r="F412" s="8"/>
    </row>
    <row r="413" spans="3:6" x14ac:dyDescent="0.2">
      <c r="C413" s="12"/>
      <c r="D413" s="12"/>
      <c r="E413" s="5"/>
      <c r="F413" s="8"/>
    </row>
    <row r="414" spans="3:6" x14ac:dyDescent="0.2">
      <c r="C414" s="12"/>
      <c r="D414" s="12"/>
      <c r="E414" s="5"/>
      <c r="F414" s="8"/>
    </row>
    <row r="415" spans="3:6" x14ac:dyDescent="0.2">
      <c r="C415" s="12"/>
      <c r="D415" s="12"/>
      <c r="E415" s="5"/>
      <c r="F415" s="8"/>
    </row>
    <row r="416" spans="3:6" x14ac:dyDescent="0.2">
      <c r="C416" s="12"/>
      <c r="D416" s="12"/>
      <c r="E416" s="5"/>
      <c r="F416" s="8"/>
    </row>
    <row r="417" spans="3:6" x14ac:dyDescent="0.2">
      <c r="C417" s="12"/>
      <c r="D417" s="12"/>
      <c r="E417" s="5"/>
      <c r="F417" s="8"/>
    </row>
    <row r="418" spans="3:6" x14ac:dyDescent="0.2">
      <c r="C418" s="12"/>
      <c r="D418" s="12"/>
      <c r="E418" s="5"/>
      <c r="F418" s="8"/>
    </row>
    <row r="419" spans="3:6" x14ac:dyDescent="0.2">
      <c r="C419" s="12"/>
      <c r="D419" s="12"/>
      <c r="E419" s="5"/>
      <c r="F419" s="8"/>
    </row>
    <row r="420" spans="3:6" x14ac:dyDescent="0.2">
      <c r="C420" s="12"/>
      <c r="D420" s="12"/>
      <c r="E420" s="5"/>
      <c r="F420" s="8"/>
    </row>
    <row r="421" spans="3:6" x14ac:dyDescent="0.2">
      <c r="C421" s="12"/>
      <c r="D421" s="12"/>
      <c r="E421" s="5"/>
      <c r="F421" s="8"/>
    </row>
    <row r="422" spans="3:6" x14ac:dyDescent="0.2">
      <c r="C422" s="12"/>
      <c r="D422" s="12"/>
      <c r="E422" s="5"/>
      <c r="F422" s="8"/>
    </row>
    <row r="423" spans="3:6" x14ac:dyDescent="0.2">
      <c r="C423" s="12"/>
      <c r="D423" s="12"/>
      <c r="E423" s="5"/>
      <c r="F423" s="8"/>
    </row>
    <row r="424" spans="3:6" x14ac:dyDescent="0.2">
      <c r="C424" s="12"/>
      <c r="D424" s="12"/>
      <c r="E424" s="5"/>
      <c r="F424" s="8"/>
    </row>
    <row r="425" spans="3:6" x14ac:dyDescent="0.2">
      <c r="C425" s="12"/>
      <c r="D425" s="12"/>
      <c r="E425" s="5"/>
      <c r="F425" s="8"/>
    </row>
    <row r="426" spans="3:6" x14ac:dyDescent="0.2">
      <c r="C426" s="12"/>
      <c r="D426" s="12"/>
      <c r="E426" s="5"/>
      <c r="F426" s="8"/>
    </row>
    <row r="427" spans="3:6" x14ac:dyDescent="0.2">
      <c r="C427" s="12"/>
      <c r="D427" s="12"/>
      <c r="E427" s="5"/>
      <c r="F427" s="8"/>
    </row>
    <row r="428" spans="3:6" x14ac:dyDescent="0.2">
      <c r="C428" s="12"/>
      <c r="D428" s="12"/>
      <c r="E428" s="5"/>
      <c r="F428" s="8"/>
    </row>
    <row r="429" spans="3:6" x14ac:dyDescent="0.2">
      <c r="C429" s="12"/>
      <c r="D429" s="12"/>
      <c r="E429" s="5"/>
      <c r="F429" s="8"/>
    </row>
    <row r="430" spans="3:6" x14ac:dyDescent="0.2">
      <c r="C430" s="12"/>
      <c r="D430" s="12"/>
      <c r="E430" s="5"/>
      <c r="F430" s="8"/>
    </row>
    <row r="431" spans="3:6" x14ac:dyDescent="0.2">
      <c r="C431" s="12"/>
      <c r="D431" s="12"/>
      <c r="E431" s="5"/>
      <c r="F431" s="8"/>
    </row>
    <row r="432" spans="3:6" x14ac:dyDescent="0.2">
      <c r="C432" s="12"/>
      <c r="D432" s="12"/>
      <c r="E432" s="5"/>
      <c r="F432" s="8"/>
    </row>
    <row r="433" spans="3:6" x14ac:dyDescent="0.2">
      <c r="C433" s="12"/>
      <c r="D433" s="12"/>
      <c r="E433" s="5"/>
      <c r="F433" s="8"/>
    </row>
    <row r="434" spans="3:6" x14ac:dyDescent="0.2">
      <c r="C434" s="12"/>
      <c r="D434" s="12"/>
      <c r="E434" s="5"/>
      <c r="F434" s="8"/>
    </row>
    <row r="435" spans="3:6" x14ac:dyDescent="0.2">
      <c r="C435" s="12"/>
      <c r="D435" s="12"/>
      <c r="E435" s="5"/>
      <c r="F435" s="8"/>
    </row>
    <row r="436" spans="3:6" x14ac:dyDescent="0.2">
      <c r="C436" s="12"/>
      <c r="D436" s="12"/>
      <c r="E436" s="5"/>
      <c r="F436" s="8"/>
    </row>
    <row r="437" spans="3:6" x14ac:dyDescent="0.2">
      <c r="C437" s="12"/>
      <c r="D437" s="12"/>
      <c r="E437" s="5"/>
      <c r="F437" s="8"/>
    </row>
    <row r="438" spans="3:6" x14ac:dyDescent="0.2">
      <c r="C438" s="12"/>
      <c r="D438" s="12"/>
      <c r="E438" s="5"/>
      <c r="F438" s="8"/>
    </row>
    <row r="439" spans="3:6" x14ac:dyDescent="0.2">
      <c r="C439" s="12"/>
      <c r="D439" s="12"/>
      <c r="E439" s="5"/>
      <c r="F439" s="8"/>
    </row>
    <row r="440" spans="3:6" x14ac:dyDescent="0.2">
      <c r="C440" s="12"/>
      <c r="D440" s="12"/>
      <c r="E440" s="5"/>
      <c r="F440" s="8"/>
    </row>
    <row r="441" spans="3:6" x14ac:dyDescent="0.2">
      <c r="C441" s="12"/>
      <c r="D441" s="12"/>
      <c r="E441" s="5"/>
      <c r="F441" s="8"/>
    </row>
    <row r="442" spans="3:6" x14ac:dyDescent="0.2">
      <c r="C442" s="12"/>
      <c r="D442" s="12"/>
      <c r="E442" s="5"/>
      <c r="F442" s="8"/>
    </row>
    <row r="443" spans="3:6" x14ac:dyDescent="0.2">
      <c r="C443" s="12"/>
      <c r="D443" s="12"/>
      <c r="E443" s="5"/>
      <c r="F443" s="8"/>
    </row>
    <row r="444" spans="3:6" x14ac:dyDescent="0.2">
      <c r="C444" s="12"/>
      <c r="D444" s="12"/>
      <c r="E444" s="5"/>
      <c r="F444" s="8"/>
    </row>
    <row r="445" spans="3:6" x14ac:dyDescent="0.2">
      <c r="C445" s="12"/>
      <c r="D445" s="12"/>
      <c r="E445" s="5"/>
      <c r="F445" s="8"/>
    </row>
    <row r="446" spans="3:6" x14ac:dyDescent="0.2">
      <c r="C446" s="12"/>
      <c r="D446" s="12"/>
      <c r="E446" s="5"/>
      <c r="F446" s="8"/>
    </row>
    <row r="447" spans="3:6" x14ac:dyDescent="0.2">
      <c r="C447" s="12"/>
      <c r="D447" s="12"/>
      <c r="E447" s="5"/>
      <c r="F447" s="8"/>
    </row>
    <row r="448" spans="3:6" x14ac:dyDescent="0.2">
      <c r="C448" s="12"/>
      <c r="D448" s="12"/>
      <c r="E448" s="5"/>
      <c r="F448" s="8"/>
    </row>
    <row r="449" spans="3:6" x14ac:dyDescent="0.2">
      <c r="C449" s="12"/>
      <c r="D449" s="12"/>
      <c r="E449" s="5"/>
      <c r="F449" s="8"/>
    </row>
    <row r="450" spans="3:6" x14ac:dyDescent="0.2">
      <c r="C450" s="12"/>
      <c r="D450" s="12"/>
      <c r="E450" s="5"/>
      <c r="F450" s="8"/>
    </row>
    <row r="451" spans="3:6" x14ac:dyDescent="0.2">
      <c r="C451" s="12"/>
      <c r="D451" s="12"/>
      <c r="E451" s="5"/>
      <c r="F451" s="8"/>
    </row>
    <row r="452" spans="3:6" x14ac:dyDescent="0.2">
      <c r="C452" s="12"/>
      <c r="D452" s="12"/>
      <c r="E452" s="5"/>
      <c r="F452" s="8"/>
    </row>
    <row r="453" spans="3:6" x14ac:dyDescent="0.2">
      <c r="C453" s="12"/>
      <c r="D453" s="12"/>
      <c r="E453" s="5"/>
      <c r="F453" s="8"/>
    </row>
    <row r="454" spans="3:6" x14ac:dyDescent="0.2">
      <c r="C454" s="12"/>
      <c r="D454" s="12"/>
      <c r="E454" s="5"/>
      <c r="F454" s="8"/>
    </row>
    <row r="455" spans="3:6" x14ac:dyDescent="0.2">
      <c r="C455" s="12"/>
      <c r="D455" s="12"/>
      <c r="E455" s="5"/>
      <c r="F455" s="8"/>
    </row>
    <row r="456" spans="3:6" x14ac:dyDescent="0.2">
      <c r="C456" s="12"/>
      <c r="D456" s="12"/>
      <c r="E456" s="5"/>
      <c r="F456" s="8"/>
    </row>
    <row r="457" spans="3:6" x14ac:dyDescent="0.2">
      <c r="C457" s="12"/>
      <c r="D457" s="12"/>
      <c r="E457" s="5"/>
      <c r="F457" s="8"/>
    </row>
    <row r="458" spans="3:6" x14ac:dyDescent="0.2">
      <c r="C458" s="12"/>
      <c r="D458" s="12"/>
      <c r="E458" s="5"/>
      <c r="F458" s="8"/>
    </row>
    <row r="459" spans="3:6" x14ac:dyDescent="0.2">
      <c r="C459" s="12"/>
      <c r="D459" s="12"/>
      <c r="E459" s="5"/>
      <c r="F459" s="8"/>
    </row>
    <row r="460" spans="3:6" x14ac:dyDescent="0.2">
      <c r="C460" s="12"/>
      <c r="D460" s="12"/>
      <c r="E460" s="5"/>
      <c r="F460" s="8"/>
    </row>
    <row r="461" spans="3:6" x14ac:dyDescent="0.2">
      <c r="C461" s="12"/>
      <c r="D461" s="12"/>
      <c r="E461" s="5"/>
      <c r="F461" s="8"/>
    </row>
    <row r="462" spans="3:6" x14ac:dyDescent="0.2">
      <c r="C462" s="12"/>
      <c r="D462" s="12"/>
      <c r="E462" s="5"/>
      <c r="F462" s="8"/>
    </row>
    <row r="463" spans="3:6" x14ac:dyDescent="0.2">
      <c r="C463" s="12"/>
      <c r="D463" s="12"/>
      <c r="E463" s="5"/>
      <c r="F463" s="8"/>
    </row>
    <row r="464" spans="3:6" x14ac:dyDescent="0.2">
      <c r="C464" s="12"/>
      <c r="D464" s="12"/>
      <c r="E464" s="5"/>
      <c r="F464" s="8"/>
    </row>
    <row r="465" spans="3:6" x14ac:dyDescent="0.2">
      <c r="C465" s="12"/>
      <c r="D465" s="12"/>
      <c r="E465" s="5"/>
      <c r="F465" s="8"/>
    </row>
    <row r="466" spans="3:6" x14ac:dyDescent="0.2">
      <c r="C466" s="12"/>
      <c r="D466" s="12"/>
      <c r="E466" s="5"/>
      <c r="F466" s="8"/>
    </row>
    <row r="467" spans="3:6" x14ac:dyDescent="0.2">
      <c r="C467" s="12"/>
      <c r="D467" s="12"/>
      <c r="E467" s="5"/>
      <c r="F467" s="8"/>
    </row>
    <row r="468" spans="3:6" x14ac:dyDescent="0.2">
      <c r="C468" s="12"/>
      <c r="D468" s="12"/>
      <c r="E468" s="5"/>
      <c r="F468" s="8"/>
    </row>
    <row r="469" spans="3:6" x14ac:dyDescent="0.2">
      <c r="C469" s="12"/>
      <c r="D469" s="12"/>
      <c r="E469" s="5"/>
      <c r="F469" s="8"/>
    </row>
    <row r="470" spans="3:6" x14ac:dyDescent="0.2">
      <c r="C470" s="12"/>
      <c r="D470" s="12"/>
      <c r="E470" s="5"/>
      <c r="F470" s="8"/>
    </row>
    <row r="471" spans="3:6" x14ac:dyDescent="0.2">
      <c r="C471" s="12"/>
      <c r="D471" s="12"/>
      <c r="E471" s="5"/>
      <c r="F471" s="8"/>
    </row>
    <row r="472" spans="3:6" x14ac:dyDescent="0.2">
      <c r="C472" s="12"/>
      <c r="D472" s="12"/>
      <c r="E472" s="5"/>
      <c r="F472" s="8"/>
    </row>
    <row r="473" spans="3:6" x14ac:dyDescent="0.2">
      <c r="C473" s="12"/>
      <c r="D473" s="12"/>
      <c r="E473" s="5"/>
      <c r="F473" s="8"/>
    </row>
    <row r="474" spans="3:6" x14ac:dyDescent="0.2">
      <c r="C474" s="12"/>
      <c r="D474" s="12"/>
      <c r="E474" s="5"/>
      <c r="F474" s="8"/>
    </row>
    <row r="475" spans="3:6" x14ac:dyDescent="0.2">
      <c r="C475" s="12"/>
      <c r="D475" s="12"/>
      <c r="E475" s="5"/>
      <c r="F475" s="8"/>
    </row>
    <row r="476" spans="3:6" x14ac:dyDescent="0.2">
      <c r="C476" s="12"/>
      <c r="D476" s="12"/>
      <c r="E476" s="5"/>
      <c r="F476" s="8"/>
    </row>
    <row r="477" spans="3:6" x14ac:dyDescent="0.2">
      <c r="C477" s="12"/>
      <c r="D477" s="12"/>
      <c r="E477" s="5"/>
      <c r="F477" s="8"/>
    </row>
    <row r="478" spans="3:6" x14ac:dyDescent="0.2">
      <c r="C478" s="12"/>
      <c r="D478" s="12"/>
      <c r="E478" s="5"/>
      <c r="F478" s="8"/>
    </row>
    <row r="479" spans="3:6" x14ac:dyDescent="0.2">
      <c r="C479" s="12"/>
      <c r="D479" s="12"/>
      <c r="E479" s="5"/>
      <c r="F479" s="8"/>
    </row>
    <row r="480" spans="3:6" x14ac:dyDescent="0.2">
      <c r="C480" s="12"/>
      <c r="D480" s="12"/>
      <c r="E480" s="5"/>
      <c r="F480" s="8"/>
    </row>
    <row r="481" spans="3:6" x14ac:dyDescent="0.2">
      <c r="C481" s="12"/>
      <c r="D481" s="12"/>
      <c r="E481" s="5"/>
      <c r="F481" s="8"/>
    </row>
    <row r="482" spans="3:6" x14ac:dyDescent="0.2">
      <c r="C482" s="12"/>
      <c r="D482" s="12"/>
      <c r="E482" s="5"/>
      <c r="F482" s="8"/>
    </row>
    <row r="483" spans="3:6" x14ac:dyDescent="0.2">
      <c r="C483" s="12"/>
      <c r="D483" s="12"/>
      <c r="E483" s="5"/>
      <c r="F483" s="8"/>
    </row>
    <row r="484" spans="3:6" x14ac:dyDescent="0.2">
      <c r="C484" s="12"/>
      <c r="D484" s="12"/>
      <c r="E484" s="5"/>
      <c r="F484" s="8"/>
    </row>
    <row r="485" spans="3:6" x14ac:dyDescent="0.2">
      <c r="C485" s="12"/>
      <c r="D485" s="12"/>
      <c r="E485" s="5"/>
      <c r="F485" s="8"/>
    </row>
    <row r="486" spans="3:6" x14ac:dyDescent="0.2">
      <c r="C486" s="12"/>
      <c r="D486" s="12"/>
      <c r="E486" s="5"/>
      <c r="F486" s="8"/>
    </row>
    <row r="487" spans="3:6" x14ac:dyDescent="0.2">
      <c r="C487" s="12"/>
      <c r="D487" s="12"/>
      <c r="E487" s="5"/>
      <c r="F487" s="8"/>
    </row>
    <row r="488" spans="3:6" x14ac:dyDescent="0.2">
      <c r="C488" s="12"/>
      <c r="D488" s="12"/>
      <c r="E488" s="5"/>
      <c r="F488" s="8"/>
    </row>
    <row r="489" spans="3:6" x14ac:dyDescent="0.2">
      <c r="C489" s="12"/>
      <c r="D489" s="12"/>
      <c r="E489" s="5"/>
      <c r="F489" s="8"/>
    </row>
    <row r="490" spans="3:6" x14ac:dyDescent="0.2">
      <c r="C490" s="12"/>
      <c r="D490" s="12"/>
      <c r="E490" s="5"/>
      <c r="F490" s="8"/>
    </row>
    <row r="491" spans="3:6" x14ac:dyDescent="0.2">
      <c r="C491" s="12"/>
      <c r="D491" s="12"/>
      <c r="E491" s="5"/>
      <c r="F491" s="8"/>
    </row>
    <row r="492" spans="3:6" x14ac:dyDescent="0.2">
      <c r="C492" s="12"/>
      <c r="D492" s="12"/>
      <c r="E492" s="5"/>
      <c r="F492" s="8"/>
    </row>
    <row r="493" spans="3:6" x14ac:dyDescent="0.2">
      <c r="C493" s="12"/>
      <c r="D493" s="12"/>
      <c r="E493" s="5"/>
      <c r="F493" s="8"/>
    </row>
    <row r="494" spans="3:6" x14ac:dyDescent="0.2">
      <c r="C494" s="12"/>
      <c r="D494" s="12"/>
      <c r="E494" s="5"/>
      <c r="F494" s="8"/>
    </row>
    <row r="495" spans="3:6" x14ac:dyDescent="0.2">
      <c r="C495" s="12"/>
      <c r="D495" s="12"/>
      <c r="E495" s="5"/>
      <c r="F495" s="8"/>
    </row>
    <row r="496" spans="3:6" x14ac:dyDescent="0.2">
      <c r="C496" s="12"/>
      <c r="D496" s="12"/>
      <c r="E496" s="5"/>
      <c r="F496" s="8"/>
    </row>
    <row r="497" spans="3:6" x14ac:dyDescent="0.2">
      <c r="C497" s="12"/>
      <c r="D497" s="12"/>
      <c r="E497" s="5"/>
      <c r="F497" s="8"/>
    </row>
  </sheetData>
  <sortState xmlns:xlrd2="http://schemas.microsoft.com/office/spreadsheetml/2017/richdata2" ref="AM2:AO507">
    <sortCondition ref="AM1:AM507"/>
  </sortState>
  <mergeCells count="1">
    <mergeCell ref="AJ1:AK1"/>
  </mergeCells>
  <conditionalFormatting sqref="D3:D20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Y2:Y6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AE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:Z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2:AD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:AF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:AG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3:AM2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R3:AR20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8DBA-3833-1B45-9BF9-57B33079A064}">
  <dimension ref="A1:AB30"/>
  <sheetViews>
    <sheetView topLeftCell="L1" workbookViewId="0">
      <selection activeCell="S1" sqref="S1:Y6"/>
    </sheetView>
  </sheetViews>
  <sheetFormatPr baseColWidth="10" defaultRowHeight="16" x14ac:dyDescent="0.2"/>
  <cols>
    <col min="1" max="1" width="6.6640625" bestFit="1" customWidth="1"/>
    <col min="2" max="2" width="99.33203125" bestFit="1" customWidth="1"/>
    <col min="3" max="4" width="16" bestFit="1" customWidth="1"/>
    <col min="5" max="5" width="17.5" bestFit="1" customWidth="1"/>
    <col min="6" max="6" width="14.83203125" bestFit="1" customWidth="1"/>
    <col min="7" max="7" width="20" bestFit="1" customWidth="1"/>
    <col min="8" max="8" width="20" customWidth="1"/>
    <col min="9" max="10" width="17.33203125" bestFit="1" customWidth="1"/>
    <col min="11" max="11" width="18.5" bestFit="1" customWidth="1"/>
    <col min="12" max="12" width="19.6640625" bestFit="1" customWidth="1"/>
    <col min="13" max="13" width="19.6640625" customWidth="1"/>
    <col min="14" max="15" width="18.6640625" bestFit="1" customWidth="1"/>
    <col min="16" max="16" width="19.83203125" bestFit="1" customWidth="1"/>
    <col min="17" max="17" width="21" bestFit="1" customWidth="1"/>
    <col min="19" max="19" width="11.6640625" bestFit="1" customWidth="1"/>
    <col min="20" max="20" width="9.6640625" bestFit="1" customWidth="1"/>
    <col min="21" max="23" width="18.6640625" bestFit="1" customWidth="1"/>
    <col min="24" max="24" width="19.83203125" bestFit="1" customWidth="1"/>
    <col min="25" max="25" width="21" bestFit="1" customWidth="1"/>
    <col min="27" max="27" width="14.1640625" bestFit="1" customWidth="1"/>
    <col min="28" max="28" width="23.1640625" bestFit="1" customWidth="1"/>
  </cols>
  <sheetData>
    <row r="1" spans="1:28" x14ac:dyDescent="0.2">
      <c r="A1" s="3" t="s">
        <v>14</v>
      </c>
      <c r="B1" s="3" t="s">
        <v>451</v>
      </c>
      <c r="C1" s="3" t="s">
        <v>450</v>
      </c>
      <c r="D1" s="3" t="s">
        <v>475</v>
      </c>
      <c r="E1" s="3" t="s">
        <v>449</v>
      </c>
      <c r="F1" s="3" t="s">
        <v>448</v>
      </c>
      <c r="G1" s="3" t="s">
        <v>452</v>
      </c>
      <c r="H1" s="32" t="s">
        <v>474</v>
      </c>
      <c r="I1" s="4" t="s">
        <v>481</v>
      </c>
      <c r="J1" s="4" t="s">
        <v>482</v>
      </c>
      <c r="K1" s="4" t="s">
        <v>483</v>
      </c>
      <c r="L1" s="4" t="s">
        <v>511</v>
      </c>
      <c r="M1" s="25" t="s">
        <v>473</v>
      </c>
      <c r="N1" s="25" t="s">
        <v>484</v>
      </c>
      <c r="O1" s="25" t="s">
        <v>485</v>
      </c>
      <c r="P1" s="25" t="s">
        <v>486</v>
      </c>
      <c r="Q1" s="25" t="s">
        <v>512</v>
      </c>
      <c r="S1" s="3" t="s">
        <v>480</v>
      </c>
      <c r="T1" s="3" t="s">
        <v>479</v>
      </c>
      <c r="U1" s="3" t="str">
        <f>M1</f>
        <v>∆∆G - 0k_Proteins</v>
      </c>
      <c r="V1" s="3" t="str">
        <f>N1</f>
        <v>∆∆G - 1k_Proteins</v>
      </c>
      <c r="W1" s="3" t="str">
        <f>O1</f>
        <v>∆∆G - 5k_Proteins</v>
      </c>
      <c r="X1" s="3" t="str">
        <f>P1</f>
        <v>∆∆G - 10k_Proteins</v>
      </c>
      <c r="Y1" s="3" t="str">
        <f>Q1</f>
        <v>∆∆G - 100k_Proteins</v>
      </c>
      <c r="Z1" s="3"/>
      <c r="AA1" s="28" t="s">
        <v>478</v>
      </c>
      <c r="AB1" s="28"/>
    </row>
    <row r="2" spans="1:28" x14ac:dyDescent="0.2">
      <c r="A2" s="1">
        <v>0</v>
      </c>
      <c r="B2" s="17" t="s">
        <v>493</v>
      </c>
      <c r="C2" s="17" t="s">
        <v>504</v>
      </c>
      <c r="D2" s="17" t="s">
        <v>477</v>
      </c>
      <c r="E2" s="18" cm="1">
        <f t="array" aca="1" ref="E2" ca="1">SUMPRODUCT((MID($B$2,ROW(INDIRECT("1:"&amp;LEN($B$2))),1)&lt;&gt;MID(B2,ROW(INDIRECT("1:"&amp;LEN($B$2))),1))*1)</f>
        <v>0</v>
      </c>
      <c r="F2" cm="1">
        <f t="array" aca="1" ref="F2" ca="1">SUMPRODUCT((MID($C$2,ROW(INDIRECT("1:"&amp;LEN($C$2))),1)&lt;&gt;MID(C2,ROW(INDIRECT("1:"&amp;LEN($C$2))),1))*1)</f>
        <v>0</v>
      </c>
      <c r="G2">
        <v>0</v>
      </c>
      <c r="H2" s="19">
        <v>-14.714472000000001</v>
      </c>
      <c r="I2" s="1">
        <v>-16.089825999999999</v>
      </c>
      <c r="J2" s="1">
        <v>-14.078654999999999</v>
      </c>
      <c r="K2" s="27">
        <v>-15.254797</v>
      </c>
      <c r="L2" s="27">
        <v>-34.308506000000001</v>
      </c>
      <c r="M2" s="1">
        <f>H2-H$2</f>
        <v>0</v>
      </c>
      <c r="N2" s="1">
        <f>I2-I$2</f>
        <v>0</v>
      </c>
      <c r="O2" s="1">
        <f t="shared" ref="O2:O18" si="0">J2-J$2</f>
        <v>0</v>
      </c>
      <c r="P2" s="1">
        <f t="shared" ref="P2:P18" si="1">K2-K$2</f>
        <v>0</v>
      </c>
      <c r="Q2" s="1">
        <f t="shared" ref="Q2:Q18" si="2">L2-L$2</f>
        <v>0</v>
      </c>
      <c r="S2" s="2">
        <v>0.3</v>
      </c>
      <c r="T2" s="22">
        <f>SUM( COUNTIF(D$2:D$20,S2))</f>
        <v>6</v>
      </c>
      <c r="U2" s="23">
        <f>PEARSON($G3:$G8,M3:M8)</f>
        <v>-0.552455010840875</v>
      </c>
      <c r="V2" s="23">
        <f>PEARSON($G3:$G8,N3:N8)</f>
        <v>-0.27680504496799863</v>
      </c>
      <c r="W2" s="23">
        <f>PEARSON($G3:$G8,O3:O8)</f>
        <v>0.13087198622690624</v>
      </c>
      <c r="X2" s="23">
        <f>PEARSON($G3:$G8,P3:P8)</f>
        <v>0.28076012622486374</v>
      </c>
      <c r="Y2" s="23">
        <f>PEARSON($G3:$G8,Q3:Q8)</f>
        <v>0.42899982575804613</v>
      </c>
      <c r="AA2" t="s">
        <v>1</v>
      </c>
      <c r="AB2" s="1" t="s">
        <v>2</v>
      </c>
    </row>
    <row r="3" spans="1:28" x14ac:dyDescent="0.2">
      <c r="A3">
        <v>1</v>
      </c>
      <c r="B3" s="1" t="s">
        <v>493</v>
      </c>
      <c r="C3" s="39" t="s">
        <v>505</v>
      </c>
      <c r="D3">
        <v>0.3</v>
      </c>
      <c r="E3" s="18" cm="1">
        <f t="array" aca="1" ref="E3" ca="1">SUMPRODUCT((MID($B$2,ROW(INDIRECT("1:"&amp;LEN($B$2))),1)&lt;&gt;MID(B3,ROW(INDIRECT("1:"&amp;LEN($B$2))),1))*1)</f>
        <v>0</v>
      </c>
      <c r="F3" cm="1">
        <f t="array" aca="1" ref="F3" ca="1">SUMPRODUCT((MID($C$2,ROW(INDIRECT("1:"&amp;LEN($C$2))),1)&lt;&gt;MID(C3,ROW(INDIRECT("1:"&amp;LEN($C$2))),1))*1)</f>
        <v>1</v>
      </c>
      <c r="G3">
        <v>1.0476080000000001</v>
      </c>
      <c r="H3">
        <v>-10.786538</v>
      </c>
      <c r="I3" s="1">
        <v>-11.974170000000001</v>
      </c>
      <c r="J3" s="1">
        <v>-10.544655000000001</v>
      </c>
      <c r="K3" s="27">
        <v>-12.192567</v>
      </c>
      <c r="L3" s="27">
        <v>-29.669851999999999</v>
      </c>
      <c r="M3" s="1">
        <f t="shared" ref="M3:N18" si="3">H3-H$2</f>
        <v>3.9279340000000005</v>
      </c>
      <c r="N3" s="1">
        <f t="shared" si="3"/>
        <v>4.1156559999999978</v>
      </c>
      <c r="O3" s="1">
        <f t="shared" si="0"/>
        <v>3.5339999999999989</v>
      </c>
      <c r="P3" s="1">
        <f t="shared" si="1"/>
        <v>3.0622299999999996</v>
      </c>
      <c r="Q3" s="1">
        <f t="shared" si="2"/>
        <v>4.6386540000000025</v>
      </c>
      <c r="S3" s="2">
        <v>0.4</v>
      </c>
      <c r="T3" s="22" cm="1">
        <f t="array" ref="T3">SUM( COUNTIF(D$2:D$20,S2:S3))</f>
        <v>14</v>
      </c>
      <c r="U3" s="23">
        <f>PEARSON($G3:$G16,M3:M16)</f>
        <v>0.12112714752186475</v>
      </c>
      <c r="V3" s="23">
        <f>PEARSON($G3:$G16,N3:N16)</f>
        <v>-0.42482969103599233</v>
      </c>
      <c r="W3" s="23">
        <f>PEARSON($G3:$G16,O3:O16)</f>
        <v>-0.20730681730654588</v>
      </c>
      <c r="X3" s="23">
        <f>PEARSON($G3:$G16,P3:P16)</f>
        <v>-0.10850785607263956</v>
      </c>
      <c r="Y3" s="23">
        <f>PEARSON($G3:$G16,Q3:Q16)</f>
        <v>1.6527961868909622E-2</v>
      </c>
      <c r="AA3" t="s">
        <v>3</v>
      </c>
      <c r="AB3" s="1" t="s">
        <v>4</v>
      </c>
    </row>
    <row r="4" spans="1:28" x14ac:dyDescent="0.2">
      <c r="A4">
        <v>2</v>
      </c>
      <c r="B4" s="1" t="s">
        <v>493</v>
      </c>
      <c r="C4" s="39" t="s">
        <v>506</v>
      </c>
      <c r="D4">
        <v>0.3</v>
      </c>
      <c r="E4" s="18" cm="1">
        <f t="array" aca="1" ref="E4" ca="1">SUMPRODUCT((MID($B$2,ROW(INDIRECT("1:"&amp;LEN($B$2))),1)&lt;&gt;MID(B4,ROW(INDIRECT("1:"&amp;LEN($B$2))),1))*1)</f>
        <v>0</v>
      </c>
      <c r="F4" cm="1">
        <f t="array" aca="1" ref="F4" ca="1">SUMPRODUCT((MID($C$2,ROW(INDIRECT("1:"&amp;LEN($C$2))),1)&lt;&gt;MID(C4,ROW(INDIRECT("1:"&amp;LEN($C$2))),1))*1)</f>
        <v>1</v>
      </c>
      <c r="G4">
        <v>1.192123</v>
      </c>
      <c r="H4">
        <v>-10.711658</v>
      </c>
      <c r="I4" s="1">
        <v>-12.497951</v>
      </c>
      <c r="J4" s="1">
        <v>-10.830553</v>
      </c>
      <c r="K4" s="27">
        <v>-12.281136999999999</v>
      </c>
      <c r="L4" s="27">
        <v>-29.997425</v>
      </c>
      <c r="M4" s="1">
        <f t="shared" si="3"/>
        <v>4.0028140000000008</v>
      </c>
      <c r="N4" s="1">
        <f t="shared" si="3"/>
        <v>3.5918749999999982</v>
      </c>
      <c r="O4" s="1">
        <f t="shared" si="0"/>
        <v>3.2481019999999994</v>
      </c>
      <c r="P4" s="1">
        <f t="shared" si="1"/>
        <v>2.9736600000000006</v>
      </c>
      <c r="Q4" s="1">
        <f t="shared" si="2"/>
        <v>4.3110810000000015</v>
      </c>
      <c r="S4" s="2">
        <v>0.5</v>
      </c>
      <c r="T4" s="22" cm="1">
        <f t="array" ref="T4">SUM( COUNTIF(D$2:D$20,S2:S4))</f>
        <v>16</v>
      </c>
      <c r="U4" s="23">
        <f>PEARSON($G3:$G18,M3:M18)</f>
        <v>-0.13880383427619031</v>
      </c>
      <c r="V4" s="23">
        <f>PEARSON($G3:$G18,N3:N18)</f>
        <v>-0.38155055907167629</v>
      </c>
      <c r="W4" s="23">
        <f>PEARSON($G3:$G18,O3:O18)</f>
        <v>-0.20686857849486634</v>
      </c>
      <c r="X4" s="23">
        <f>PEARSON($G3:$G18,P3:P18)</f>
        <v>-0.12387890498022099</v>
      </c>
      <c r="Y4" s="23">
        <f>PEARSON($G3:$G18,Q3:Q18)</f>
        <v>-1.5374342152973078E-2</v>
      </c>
      <c r="AA4" t="s">
        <v>5</v>
      </c>
      <c r="AB4" s="1" t="s">
        <v>6</v>
      </c>
    </row>
    <row r="5" spans="1:28" x14ac:dyDescent="0.2">
      <c r="A5">
        <v>3</v>
      </c>
      <c r="B5" s="1" t="s">
        <v>493</v>
      </c>
      <c r="C5" s="1" t="s">
        <v>507</v>
      </c>
      <c r="D5">
        <v>0.3</v>
      </c>
      <c r="E5" s="18" cm="1">
        <f t="array" aca="1" ref="E5" ca="1">SUMPRODUCT((MID($B$2,ROW(INDIRECT("1:"&amp;LEN($B$2))),1)&lt;&gt;MID(B5,ROW(INDIRECT("1:"&amp;LEN($B$2))),1))*1)</f>
        <v>0</v>
      </c>
      <c r="F5" cm="1">
        <f t="array" aca="1" ref="F5" ca="1">SUMPRODUCT((MID($C$2,ROW(INDIRECT("1:"&amp;LEN($C$2))),1)&lt;&gt;MID(C5,ROW(INDIRECT("1:"&amp;LEN($C$2))),1))*1)</f>
        <v>1</v>
      </c>
      <c r="G5">
        <v>3.4869469999999998</v>
      </c>
      <c r="H5">
        <v>-10.707976</v>
      </c>
      <c r="I5" s="1">
        <v>-14.318346999999999</v>
      </c>
      <c r="J5" s="1">
        <v>-13.286837999999999</v>
      </c>
      <c r="K5" s="27">
        <v>-14.932513</v>
      </c>
      <c r="L5" s="27">
        <v>-34.161794999999998</v>
      </c>
      <c r="M5" s="1">
        <f t="shared" si="3"/>
        <v>4.0064960000000003</v>
      </c>
      <c r="N5" s="1">
        <f t="shared" si="3"/>
        <v>1.7714789999999994</v>
      </c>
      <c r="O5" s="1">
        <f t="shared" si="0"/>
        <v>0.79181699999999999</v>
      </c>
      <c r="P5" s="1">
        <f t="shared" si="1"/>
        <v>0.32228399999999979</v>
      </c>
      <c r="Q5" s="1">
        <f t="shared" si="2"/>
        <v>0.14671100000000337</v>
      </c>
      <c r="S5" s="2">
        <v>0.7</v>
      </c>
      <c r="T5" s="22" cm="1">
        <f t="array" ref="T5">SUM(COUNTIF(D$2:D$20, S2:S5))</f>
        <v>16</v>
      </c>
      <c r="U5" s="23">
        <f>PEARSON($G3:$G18,M3:M18)</f>
        <v>-0.13880383427619031</v>
      </c>
      <c r="V5" s="23">
        <f>PEARSON($G3:$G18,N3:N18)</f>
        <v>-0.38155055907167629</v>
      </c>
      <c r="W5" s="23">
        <f>PEARSON($G3:$G18,O3:O18)</f>
        <v>-0.20686857849486634</v>
      </c>
      <c r="X5" s="23">
        <f>PEARSON($G3:$G18,P3:P18)</f>
        <v>-0.12387890498022099</v>
      </c>
      <c r="Y5" s="23">
        <f>PEARSON($G3:$G18,Q3:Q18)</f>
        <v>-1.5374342152973078E-2</v>
      </c>
      <c r="AA5" t="s">
        <v>7</v>
      </c>
      <c r="AB5" s="1" t="s">
        <v>8</v>
      </c>
    </row>
    <row r="6" spans="1:28" x14ac:dyDescent="0.2">
      <c r="A6">
        <v>4</v>
      </c>
      <c r="B6" s="1" t="s">
        <v>493</v>
      </c>
      <c r="C6" s="1" t="s">
        <v>508</v>
      </c>
      <c r="D6">
        <v>0.3</v>
      </c>
      <c r="E6" s="18" cm="1">
        <f t="array" aca="1" ref="E6" ca="1">SUMPRODUCT((MID($B$2,ROW(INDIRECT("1:"&amp;LEN($B$2))),1)&lt;&gt;MID(B6,ROW(INDIRECT("1:"&amp;LEN($B$2))),1))*1)</f>
        <v>0</v>
      </c>
      <c r="F6" cm="1">
        <f t="array" aca="1" ref="F6" ca="1">SUMPRODUCT((MID($C$2,ROW(INDIRECT("1:"&amp;LEN($C$2))),1)&lt;&gt;MID(C6,ROW(INDIRECT("1:"&amp;LEN($C$2))),1))*1)</f>
        <v>1</v>
      </c>
      <c r="G6">
        <v>3.623456</v>
      </c>
      <c r="H6">
        <v>-10.846537</v>
      </c>
      <c r="I6" s="1">
        <v>-15.262305</v>
      </c>
      <c r="J6" s="1">
        <v>-13.609792000000001</v>
      </c>
      <c r="K6" s="27">
        <v>-14.844109</v>
      </c>
      <c r="L6" s="27">
        <v>-34.248519999999999</v>
      </c>
      <c r="M6" s="1">
        <f t="shared" si="3"/>
        <v>3.867935000000001</v>
      </c>
      <c r="N6" s="1">
        <f t="shared" si="3"/>
        <v>0.82752099999999906</v>
      </c>
      <c r="O6" s="1">
        <f t="shared" si="0"/>
        <v>0.46886299999999892</v>
      </c>
      <c r="P6" s="1">
        <f t="shared" si="1"/>
        <v>0.41068800000000039</v>
      </c>
      <c r="Q6" s="1">
        <f t="shared" si="2"/>
        <v>5.9986000000002093E-2</v>
      </c>
      <c r="S6" s="2">
        <v>0.95</v>
      </c>
      <c r="T6" s="22" cm="1">
        <f t="array" ref="T6">SUM(COUNTIF(D$2:D$20, S2:S6))</f>
        <v>16</v>
      </c>
      <c r="U6" s="23">
        <f>PEARSON($G3:$G18,M3:M18)</f>
        <v>-0.13880383427619031</v>
      </c>
      <c r="V6" s="23">
        <f>PEARSON($G3:$G18,N3:N18)</f>
        <v>-0.38155055907167629</v>
      </c>
      <c r="W6" s="23">
        <f>PEARSON($G3:$G18,O3:O18)</f>
        <v>-0.20686857849486634</v>
      </c>
      <c r="X6" s="23">
        <f>PEARSON($G3:$G18,P3:P18)</f>
        <v>-0.12387890498022099</v>
      </c>
      <c r="Y6" s="23">
        <f>PEARSON($G3:$G18,Q3:Q18)</f>
        <v>-1.5374342152973078E-2</v>
      </c>
      <c r="AA6" t="s">
        <v>9</v>
      </c>
      <c r="AB6" s="1" t="s">
        <v>10</v>
      </c>
    </row>
    <row r="7" spans="1:28" x14ac:dyDescent="0.2">
      <c r="A7">
        <v>5</v>
      </c>
      <c r="B7" s="1" t="s">
        <v>493</v>
      </c>
      <c r="C7" s="1" t="s">
        <v>509</v>
      </c>
      <c r="D7">
        <v>0.3</v>
      </c>
      <c r="E7" s="18" cm="1">
        <f t="array" aca="1" ref="E7" ca="1">SUMPRODUCT((MID($B$2,ROW(INDIRECT("1:"&amp;LEN($B$2))),1)&lt;&gt;MID(B7,ROW(INDIRECT("1:"&amp;LEN($B$2))),1))*1)</f>
        <v>0</v>
      </c>
      <c r="F7" cm="1">
        <f t="array" aca="1" ref="F7" ca="1">SUMPRODUCT((MID($C$2,ROW(INDIRECT("1:"&amp;LEN($C$2))),1)&lt;&gt;MID(C7,ROW(INDIRECT("1:"&amp;LEN($C$2))),1))*1)</f>
        <v>1</v>
      </c>
      <c r="G7">
        <v>1.0602400000000001</v>
      </c>
      <c r="H7">
        <v>-10.764435000000001</v>
      </c>
      <c r="I7" s="1">
        <v>-13.490443000000001</v>
      </c>
      <c r="J7" s="1">
        <v>-13.162632</v>
      </c>
      <c r="K7" s="27">
        <v>-14.476629000000001</v>
      </c>
      <c r="L7" s="27">
        <v>-33.112810000000003</v>
      </c>
      <c r="M7" s="1">
        <f t="shared" si="3"/>
        <v>3.950037</v>
      </c>
      <c r="N7" s="1">
        <f t="shared" si="3"/>
        <v>2.5993829999999978</v>
      </c>
      <c r="O7" s="1">
        <f t="shared" si="0"/>
        <v>0.91602299999999914</v>
      </c>
      <c r="P7" s="1">
        <f t="shared" si="1"/>
        <v>0.77816799999999908</v>
      </c>
      <c r="Q7" s="1">
        <f t="shared" si="2"/>
        <v>1.1956959999999981</v>
      </c>
      <c r="AA7" t="s">
        <v>11</v>
      </c>
      <c r="AB7" s="1" t="s">
        <v>12</v>
      </c>
    </row>
    <row r="8" spans="1:28" x14ac:dyDescent="0.2">
      <c r="A8">
        <v>6</v>
      </c>
      <c r="B8" s="1" t="s">
        <v>493</v>
      </c>
      <c r="C8" s="1" t="s">
        <v>510</v>
      </c>
      <c r="D8">
        <v>0.3</v>
      </c>
      <c r="E8" s="18" cm="1">
        <f t="array" aca="1" ref="E8" ca="1">SUMPRODUCT((MID($B$2,ROW(INDIRECT("1:"&amp;LEN($B$2))),1)&lt;&gt;MID(B8,ROW(INDIRECT("1:"&amp;LEN($B$2))),1))*1)</f>
        <v>0</v>
      </c>
      <c r="F8" cm="1">
        <f t="array" aca="1" ref="F8" ca="1">SUMPRODUCT((MID($C$2,ROW(INDIRECT("1:"&amp;LEN($C$2))),1)&lt;&gt;MID(C8,ROW(INDIRECT("1:"&amp;LEN($C$2))),1))*1)</f>
        <v>1</v>
      </c>
      <c r="G8">
        <v>4.6143919999999996</v>
      </c>
      <c r="H8">
        <v>-10.868928</v>
      </c>
      <c r="I8" s="1">
        <v>-11.915416</v>
      </c>
      <c r="J8" s="1">
        <v>-8.6309149999999999</v>
      </c>
      <c r="K8" s="27">
        <v>-8.5223800000000001</v>
      </c>
      <c r="L8" s="27">
        <v>-17.432472000000001</v>
      </c>
      <c r="M8" s="1">
        <f t="shared" si="3"/>
        <v>3.8455440000000003</v>
      </c>
      <c r="N8" s="1">
        <f t="shared" si="3"/>
        <v>4.1744099999999982</v>
      </c>
      <c r="O8" s="1">
        <f t="shared" si="0"/>
        <v>5.4477399999999996</v>
      </c>
      <c r="P8" s="1">
        <f t="shared" si="1"/>
        <v>6.7324169999999999</v>
      </c>
      <c r="Q8" s="1">
        <f t="shared" si="2"/>
        <v>16.876034000000001</v>
      </c>
      <c r="AA8" t="s">
        <v>13</v>
      </c>
      <c r="AB8" s="1">
        <v>25</v>
      </c>
    </row>
    <row r="9" spans="1:28" x14ac:dyDescent="0.2">
      <c r="A9">
        <v>7</v>
      </c>
      <c r="B9" s="1" t="s">
        <v>494</v>
      </c>
      <c r="C9" s="1" t="s">
        <v>504</v>
      </c>
      <c r="D9">
        <v>0.4</v>
      </c>
      <c r="E9" s="18" cm="1">
        <f t="array" aca="1" ref="E9" ca="1">SUMPRODUCT((MID($B$2,ROW(INDIRECT("1:"&amp;LEN($B$2))),1)&lt;&gt;MID(B9,ROW(INDIRECT("1:"&amp;LEN($B$2))),1))*1)</f>
        <v>1</v>
      </c>
      <c r="F9" cm="1">
        <f t="array" aca="1" ref="F9" ca="1">SUMPRODUCT((MID($C$2,ROW(INDIRECT("1:"&amp;LEN($C$2))),1)&lt;&gt;MID(C9,ROW(INDIRECT("1:"&amp;LEN($C$2))),1))*1)</f>
        <v>0</v>
      </c>
      <c r="G9">
        <v>1.0107539999999999</v>
      </c>
      <c r="H9">
        <v>-10.363950000000001</v>
      </c>
      <c r="I9" s="1">
        <v>-14.991161</v>
      </c>
      <c r="J9" s="1">
        <v>-13.659670999999999</v>
      </c>
      <c r="K9" s="27">
        <v>-14.872389999999999</v>
      </c>
      <c r="L9" s="27">
        <v>-33.769395000000003</v>
      </c>
      <c r="M9" s="1">
        <f t="shared" si="3"/>
        <v>4.3505219999999998</v>
      </c>
      <c r="N9" s="1">
        <f t="shared" si="3"/>
        <v>1.0986649999999987</v>
      </c>
      <c r="O9" s="1">
        <f t="shared" si="0"/>
        <v>0.41898400000000002</v>
      </c>
      <c r="P9" s="1">
        <f t="shared" si="1"/>
        <v>0.38240700000000061</v>
      </c>
      <c r="Q9" s="1">
        <f t="shared" si="2"/>
        <v>0.53911099999999834</v>
      </c>
    </row>
    <row r="10" spans="1:28" x14ac:dyDescent="0.2">
      <c r="A10">
        <v>8</v>
      </c>
      <c r="B10" s="1" t="s">
        <v>495</v>
      </c>
      <c r="C10" s="1" t="s">
        <v>504</v>
      </c>
      <c r="D10">
        <v>0.4</v>
      </c>
      <c r="E10" s="18" cm="1">
        <f t="array" aca="1" ref="E10" ca="1">SUMPRODUCT((MID($B$2,ROW(INDIRECT("1:"&amp;LEN($B$2))),1)&lt;&gt;MID(B10,ROW(INDIRECT("1:"&amp;LEN($B$2))),1))*1)</f>
        <v>1</v>
      </c>
      <c r="F10" cm="1">
        <f t="array" aca="1" ref="F10" ca="1">SUMPRODUCT((MID($C$2,ROW(INDIRECT("1:"&amp;LEN($C$2))),1)&lt;&gt;MID(C10,ROW(INDIRECT("1:"&amp;LEN($C$2))),1))*1)</f>
        <v>0</v>
      </c>
      <c r="G10">
        <v>2.2133280000000002</v>
      </c>
      <c r="H10">
        <v>-10.363950000000001</v>
      </c>
      <c r="I10" s="1">
        <v>-15.054551999999999</v>
      </c>
      <c r="J10" s="1">
        <v>-13.669314</v>
      </c>
      <c r="K10" s="27">
        <v>-14.854651</v>
      </c>
      <c r="L10" s="27">
        <v>-33.765692000000001</v>
      </c>
      <c r="M10" s="1">
        <f t="shared" si="3"/>
        <v>4.3505219999999998</v>
      </c>
      <c r="N10" s="1">
        <f t="shared" si="3"/>
        <v>1.0352739999999994</v>
      </c>
      <c r="O10" s="1">
        <f t="shared" si="0"/>
        <v>0.40934099999999951</v>
      </c>
      <c r="P10" s="1">
        <f t="shared" si="1"/>
        <v>0.40014599999999945</v>
      </c>
      <c r="Q10" s="1">
        <f t="shared" si="2"/>
        <v>0.54281399999999991</v>
      </c>
    </row>
    <row r="11" spans="1:28" x14ac:dyDescent="0.2">
      <c r="A11">
        <v>9</v>
      </c>
      <c r="B11" s="1" t="s">
        <v>496</v>
      </c>
      <c r="C11" s="1" t="s">
        <v>504</v>
      </c>
      <c r="D11">
        <v>0.4</v>
      </c>
      <c r="E11" s="18" cm="1">
        <f t="array" aca="1" ref="E11" ca="1">SUMPRODUCT((MID($B$2,ROW(INDIRECT("1:"&amp;LEN($B$2))),1)&lt;&gt;MID(B11,ROW(INDIRECT("1:"&amp;LEN($B$2))),1))*1)</f>
        <v>1</v>
      </c>
      <c r="F11" cm="1">
        <f t="array" aca="1" ref="F11" ca="1">SUMPRODUCT((MID($C$2,ROW(INDIRECT("1:"&amp;LEN($C$2))),1)&lt;&gt;MID(C11,ROW(INDIRECT("1:"&amp;LEN($C$2))),1))*1)</f>
        <v>0</v>
      </c>
      <c r="G11">
        <v>2.4875050000000001</v>
      </c>
      <c r="H11">
        <v>-9.8908199999999997</v>
      </c>
      <c r="I11" s="1">
        <v>-14.934430000000001</v>
      </c>
      <c r="J11" s="1">
        <v>-13.735846</v>
      </c>
      <c r="K11" s="27">
        <v>-14.981707</v>
      </c>
      <c r="L11" s="27">
        <v>-34.070646000000004</v>
      </c>
      <c r="M11" s="1">
        <f t="shared" si="3"/>
        <v>4.8236520000000009</v>
      </c>
      <c r="N11" s="1">
        <f t="shared" si="3"/>
        <v>1.1553959999999979</v>
      </c>
      <c r="O11" s="1">
        <f t="shared" si="0"/>
        <v>0.34280899999999903</v>
      </c>
      <c r="P11" s="1">
        <f t="shared" si="1"/>
        <v>0.27308999999999983</v>
      </c>
      <c r="Q11" s="1">
        <f t="shared" si="2"/>
        <v>0.23785999999999774</v>
      </c>
    </row>
    <row r="12" spans="1:28" x14ac:dyDescent="0.2">
      <c r="A12">
        <v>10</v>
      </c>
      <c r="B12" s="1" t="s">
        <v>497</v>
      </c>
      <c r="C12" s="1" t="s">
        <v>504</v>
      </c>
      <c r="D12">
        <v>0.4</v>
      </c>
      <c r="E12" s="18" cm="1">
        <f t="array" aca="1" ref="E12" ca="1">SUMPRODUCT((MID($B$2,ROW(INDIRECT("1:"&amp;LEN($B$2))),1)&lt;&gt;MID(B12,ROW(INDIRECT("1:"&amp;LEN($B$2))),1))*1)</f>
        <v>1</v>
      </c>
      <c r="F12" cm="1">
        <f t="array" aca="1" ref="F12" ca="1">SUMPRODUCT((MID($C$2,ROW(INDIRECT("1:"&amp;LEN($C$2))),1)&lt;&gt;MID(C12,ROW(INDIRECT("1:"&amp;LEN($C$2))),1))*1)</f>
        <v>0</v>
      </c>
      <c r="G12">
        <v>4.089512</v>
      </c>
      <c r="H12">
        <v>-10.406174</v>
      </c>
      <c r="I12" s="1">
        <v>-15.045159999999999</v>
      </c>
      <c r="J12" s="1">
        <v>-13.655182</v>
      </c>
      <c r="K12" s="27">
        <v>-14.868306</v>
      </c>
      <c r="L12" s="27">
        <v>-33.773344000000002</v>
      </c>
      <c r="M12" s="1">
        <f t="shared" si="3"/>
        <v>4.3082980000000006</v>
      </c>
      <c r="N12" s="1">
        <f t="shared" si="3"/>
        <v>1.0446659999999994</v>
      </c>
      <c r="O12" s="1">
        <f t="shared" si="0"/>
        <v>0.42347299999999954</v>
      </c>
      <c r="P12" s="1">
        <f t="shared" si="1"/>
        <v>0.38649099999999947</v>
      </c>
      <c r="Q12" s="1">
        <f t="shared" si="2"/>
        <v>0.53516199999999969</v>
      </c>
    </row>
    <row r="13" spans="1:28" x14ac:dyDescent="0.2">
      <c r="A13">
        <v>11</v>
      </c>
      <c r="B13" s="1" t="s">
        <v>498</v>
      </c>
      <c r="C13" s="1" t="s">
        <v>504</v>
      </c>
      <c r="D13">
        <v>0.4</v>
      </c>
      <c r="E13" s="18" cm="1">
        <f t="array" aca="1" ref="E13" ca="1">SUMPRODUCT((MID($B$2,ROW(INDIRECT("1:"&amp;LEN($B$2))),1)&lt;&gt;MID(B13,ROW(INDIRECT("1:"&amp;LEN($B$2))),1))*1)</f>
        <v>1</v>
      </c>
      <c r="F13" cm="1">
        <f t="array" aca="1" ref="F13" ca="1">SUMPRODUCT((MID($C$2,ROW(INDIRECT("1:"&amp;LEN($C$2))),1)&lt;&gt;MID(C13,ROW(INDIRECT("1:"&amp;LEN($C$2))),1))*1)</f>
        <v>0</v>
      </c>
      <c r="G13">
        <v>4.9540670000000002</v>
      </c>
      <c r="H13">
        <v>-10.180687000000001</v>
      </c>
      <c r="I13" s="1">
        <v>-15.53654</v>
      </c>
      <c r="J13" s="1">
        <v>-14.168202000000001</v>
      </c>
      <c r="K13" s="27">
        <v>-15.526735</v>
      </c>
      <c r="L13" s="27">
        <v>-35.041795</v>
      </c>
      <c r="M13" s="1">
        <f t="shared" si="3"/>
        <v>4.533785</v>
      </c>
      <c r="N13" s="1">
        <f t="shared" si="3"/>
        <v>0.55328599999999817</v>
      </c>
      <c r="O13" s="1">
        <f t="shared" si="0"/>
        <v>-8.9547000000001375E-2</v>
      </c>
      <c r="P13" s="1">
        <f t="shared" si="1"/>
        <v>-0.27193800000000046</v>
      </c>
      <c r="Q13" s="1">
        <f t="shared" si="2"/>
        <v>-0.73328899999999919</v>
      </c>
    </row>
    <row r="14" spans="1:28" x14ac:dyDescent="0.2">
      <c r="A14">
        <v>12</v>
      </c>
      <c r="B14" s="1" t="s">
        <v>499</v>
      </c>
      <c r="C14" s="1" t="s">
        <v>504</v>
      </c>
      <c r="D14">
        <v>0.4</v>
      </c>
      <c r="E14" s="18" cm="1">
        <f t="array" aca="1" ref="E14" ca="1">SUMPRODUCT((MID($B$2,ROW(INDIRECT("1:"&amp;LEN($B$2))),1)&lt;&gt;MID(B14,ROW(INDIRECT("1:"&amp;LEN($B$2))),1))*1)</f>
        <v>1</v>
      </c>
      <c r="F14" cm="1">
        <f t="array" aca="1" ref="F14" ca="1">SUMPRODUCT((MID($C$2,ROW(INDIRECT("1:"&amp;LEN($C$2))),1)&lt;&gt;MID(C14,ROW(INDIRECT("1:"&amp;LEN($C$2))),1))*1)</f>
        <v>0</v>
      </c>
      <c r="G14">
        <v>4.969068</v>
      </c>
      <c r="H14">
        <v>-7.9825949999999999</v>
      </c>
      <c r="I14" s="1">
        <v>-14.995575000000001</v>
      </c>
      <c r="J14" s="1">
        <v>-13.736594999999999</v>
      </c>
      <c r="K14" s="27">
        <v>-15.018630999999999</v>
      </c>
      <c r="L14" s="27">
        <v>-34.125120000000003</v>
      </c>
      <c r="M14" s="1">
        <f t="shared" si="3"/>
        <v>6.7318770000000008</v>
      </c>
      <c r="N14" s="1">
        <f t="shared" si="3"/>
        <v>1.0942509999999981</v>
      </c>
      <c r="O14" s="1">
        <f t="shared" si="0"/>
        <v>0.34206000000000003</v>
      </c>
      <c r="P14" s="1">
        <f t="shared" si="1"/>
        <v>0.23616600000000076</v>
      </c>
      <c r="Q14" s="1">
        <f t="shared" si="2"/>
        <v>0.18338599999999872</v>
      </c>
    </row>
    <row r="15" spans="1:28" x14ac:dyDescent="0.2">
      <c r="A15">
        <v>13</v>
      </c>
      <c r="B15" s="1" t="s">
        <v>500</v>
      </c>
      <c r="C15" s="1" t="s">
        <v>504</v>
      </c>
      <c r="D15">
        <v>0.4</v>
      </c>
      <c r="E15" s="18" cm="1">
        <f t="array" aca="1" ref="E15" ca="1">SUMPRODUCT((MID($B$2,ROW(INDIRECT("1:"&amp;LEN($B$2))),1)&lt;&gt;MID(B15,ROW(INDIRECT("1:"&amp;LEN($B$2))),1))*1)</f>
        <v>1</v>
      </c>
      <c r="F15" cm="1">
        <f t="array" aca="1" ref="F15" ca="1">SUMPRODUCT((MID($C$2,ROW(INDIRECT("1:"&amp;LEN($C$2))),1)&lt;&gt;MID(C15,ROW(INDIRECT("1:"&amp;LEN($C$2))),1))*1)</f>
        <v>0</v>
      </c>
      <c r="G15">
        <v>4.969068</v>
      </c>
      <c r="H15">
        <v>-10.402006999999999</v>
      </c>
      <c r="I15" s="1">
        <v>-15.586275000000001</v>
      </c>
      <c r="J15" s="1">
        <v>-14.092328</v>
      </c>
      <c r="K15" s="27">
        <v>-15.367376999999999</v>
      </c>
      <c r="L15" s="27">
        <v>-35.071176999999999</v>
      </c>
      <c r="M15" s="1">
        <f t="shared" si="3"/>
        <v>4.3124650000000013</v>
      </c>
      <c r="N15" s="1">
        <f t="shared" si="3"/>
        <v>0.50355099999999808</v>
      </c>
      <c r="O15" s="1">
        <f t="shared" si="0"/>
        <v>-1.3673000000000712E-2</v>
      </c>
      <c r="P15" s="1">
        <f t="shared" si="1"/>
        <v>-0.11257999999999946</v>
      </c>
      <c r="Q15" s="1">
        <f t="shared" si="2"/>
        <v>-0.76267099999999743</v>
      </c>
    </row>
    <row r="16" spans="1:28" x14ac:dyDescent="0.2">
      <c r="A16">
        <v>14</v>
      </c>
      <c r="B16" s="1" t="s">
        <v>501</v>
      </c>
      <c r="C16" s="1" t="s">
        <v>504</v>
      </c>
      <c r="D16">
        <v>0.4</v>
      </c>
      <c r="E16" s="18" cm="1">
        <f t="array" aca="1" ref="E16" ca="1">SUMPRODUCT((MID($B$2,ROW(INDIRECT("1:"&amp;LEN($B$2))),1)&lt;&gt;MID(B16,ROW(INDIRECT("1:"&amp;LEN($B$2))),1))*1)</f>
        <v>1</v>
      </c>
      <c r="F16" cm="1">
        <f t="array" aca="1" ref="F16" ca="1">SUMPRODUCT((MID($C$2,ROW(INDIRECT("1:"&amp;LEN($C$2))),1)&lt;&gt;MID(C16,ROW(INDIRECT("1:"&amp;LEN($C$2))),1))*1)</f>
        <v>0</v>
      </c>
      <c r="G16">
        <v>3.623456</v>
      </c>
      <c r="H16">
        <v>-14.603878999999999</v>
      </c>
      <c r="I16" s="1">
        <v>-16.160017</v>
      </c>
      <c r="J16" s="1">
        <v>-14.183123999999999</v>
      </c>
      <c r="K16" s="27">
        <v>-15.44725</v>
      </c>
      <c r="L16" s="27">
        <v>-34.986561000000002</v>
      </c>
      <c r="M16" s="1">
        <f t="shared" si="3"/>
        <v>0.1105930000000015</v>
      </c>
      <c r="N16" s="1">
        <f t="shared" si="3"/>
        <v>-7.0191000000001225E-2</v>
      </c>
      <c r="O16" s="1">
        <f t="shared" si="0"/>
        <v>-0.10446899999999992</v>
      </c>
      <c r="P16" s="1">
        <f t="shared" si="1"/>
        <v>-0.19245300000000043</v>
      </c>
      <c r="Q16" s="1">
        <f t="shared" si="2"/>
        <v>-0.67805500000000052</v>
      </c>
    </row>
    <row r="17" spans="1:20" x14ac:dyDescent="0.2">
      <c r="A17">
        <v>15</v>
      </c>
      <c r="B17" s="1" t="s">
        <v>502</v>
      </c>
      <c r="C17" s="1" t="s">
        <v>504</v>
      </c>
      <c r="D17">
        <v>0.5</v>
      </c>
      <c r="E17" s="18" cm="1">
        <f t="array" aca="1" ref="E17" ca="1">SUMPRODUCT((MID($B$2,ROW(INDIRECT("1:"&amp;LEN($B$2))),1)&lt;&gt;MID(B17,ROW(INDIRECT("1:"&amp;LEN($B$2))),1))*1)</f>
        <v>1</v>
      </c>
      <c r="F17" cm="1">
        <f t="array" aca="1" ref="F17" ca="1">SUMPRODUCT((MID($C$2,ROW(INDIRECT("1:"&amp;LEN($C$2))),1)&lt;&gt;MID(C17,ROW(INDIRECT("1:"&amp;LEN($C$2))),1))*1)</f>
        <v>0</v>
      </c>
      <c r="G17">
        <v>4.5259020000000003</v>
      </c>
      <c r="H17">
        <v>-13.812692999999999</v>
      </c>
      <c r="I17" s="1">
        <v>-14.06514</v>
      </c>
      <c r="J17" s="1">
        <v>-12.721844000000001</v>
      </c>
      <c r="K17" s="27">
        <v>-13.976065</v>
      </c>
      <c r="L17" s="27">
        <v>-31.940550999999999</v>
      </c>
      <c r="M17" s="1">
        <f t="shared" si="3"/>
        <v>0.90177900000000122</v>
      </c>
      <c r="N17" s="1">
        <f t="shared" si="3"/>
        <v>2.0246859999999991</v>
      </c>
      <c r="O17" s="1">
        <f t="shared" si="0"/>
        <v>1.3568109999999987</v>
      </c>
      <c r="P17" s="1">
        <f t="shared" si="1"/>
        <v>1.2787319999999998</v>
      </c>
      <c r="Q17" s="1">
        <f t="shared" si="2"/>
        <v>2.367955000000002</v>
      </c>
    </row>
    <row r="18" spans="1:20" x14ac:dyDescent="0.2">
      <c r="A18">
        <v>16</v>
      </c>
      <c r="B18" s="1" t="s">
        <v>503</v>
      </c>
      <c r="C18" s="1" t="s">
        <v>504</v>
      </c>
      <c r="D18">
        <v>0.5</v>
      </c>
      <c r="E18" s="18" cm="1">
        <f t="array" aca="1" ref="E18" ca="1">SUMPRODUCT((MID($B$2,ROW(INDIRECT("1:"&amp;LEN($B$2))),1)&lt;&gt;MID(B18,ROW(INDIRECT("1:"&amp;LEN($B$2))),1))*1)</f>
        <v>1</v>
      </c>
      <c r="F18" cm="1">
        <f t="array" aca="1" ref="F18" ca="1">SUMPRODUCT((MID($C$2,ROW(INDIRECT("1:"&amp;LEN($C$2))),1)&lt;&gt;MID(C18,ROW(INDIRECT("1:"&amp;LEN($C$2))),1))*1)</f>
        <v>0</v>
      </c>
      <c r="G18">
        <v>6.7665069999999998</v>
      </c>
      <c r="H18">
        <v>-12.243372000000001</v>
      </c>
      <c r="I18" s="1">
        <v>-14.819678</v>
      </c>
      <c r="J18" s="1">
        <v>-13.416461999999999</v>
      </c>
      <c r="K18" s="27">
        <v>-14.688509</v>
      </c>
      <c r="L18" s="27">
        <v>-33.49774</v>
      </c>
      <c r="M18" s="1">
        <f t="shared" si="3"/>
        <v>2.4710999999999999</v>
      </c>
      <c r="N18" s="1">
        <f t="shared" si="3"/>
        <v>1.2701479999999989</v>
      </c>
      <c r="O18" s="1">
        <f t="shared" si="0"/>
        <v>0.66219300000000025</v>
      </c>
      <c r="P18" s="1">
        <f t="shared" si="1"/>
        <v>0.56628800000000012</v>
      </c>
      <c r="Q18" s="1">
        <f t="shared" si="2"/>
        <v>0.81076600000000099</v>
      </c>
    </row>
    <row r="19" spans="1:20" x14ac:dyDescent="0.2">
      <c r="B19" s="1"/>
      <c r="C19" s="1"/>
      <c r="E19" s="18"/>
      <c r="I19" s="1"/>
      <c r="J19" s="1"/>
      <c r="K19" s="27"/>
      <c r="L19" s="27"/>
      <c r="M19" s="27"/>
      <c r="N19" s="1"/>
      <c r="O19" s="1"/>
      <c r="P19" s="1"/>
      <c r="Q19" s="1"/>
    </row>
    <row r="20" spans="1:20" ht="17" x14ac:dyDescent="0.2">
      <c r="B20" s="37" t="s">
        <v>542</v>
      </c>
    </row>
    <row r="21" spans="1:20" x14ac:dyDescent="0.2">
      <c r="B21" s="40" t="s">
        <v>543</v>
      </c>
    </row>
    <row r="22" spans="1:20" x14ac:dyDescent="0.2">
      <c r="K22" s="35"/>
      <c r="L22" s="35"/>
      <c r="M22" s="20"/>
      <c r="N22" s="35"/>
      <c r="O22" s="36"/>
      <c r="P22" s="19"/>
      <c r="Q22" s="1"/>
      <c r="R22" s="1"/>
      <c r="S22" s="27"/>
      <c r="T22" s="27"/>
    </row>
    <row r="23" spans="1:20" x14ac:dyDescent="0.2">
      <c r="K23" s="35"/>
      <c r="L23" s="36"/>
      <c r="M23" s="36"/>
      <c r="N23" s="35"/>
      <c r="O23" s="36"/>
      <c r="Q23" s="1"/>
      <c r="R23" s="1"/>
      <c r="S23" s="27"/>
      <c r="T23" s="27"/>
    </row>
    <row r="24" spans="1:20" x14ac:dyDescent="0.2">
      <c r="K24" s="35"/>
      <c r="L24" s="36"/>
      <c r="M24" s="36"/>
      <c r="N24" s="35"/>
      <c r="O24" s="36"/>
      <c r="Q24" s="1"/>
      <c r="R24" s="1"/>
      <c r="S24" s="27"/>
      <c r="T24" s="27"/>
    </row>
    <row r="25" spans="1:20" x14ac:dyDescent="0.2">
      <c r="K25" s="35"/>
      <c r="L25" s="36"/>
      <c r="M25" s="36"/>
      <c r="N25" s="35"/>
      <c r="O25" s="36"/>
      <c r="Q25" s="1"/>
      <c r="R25" s="1"/>
      <c r="S25" s="27"/>
      <c r="T25" s="27"/>
    </row>
    <row r="26" spans="1:20" x14ac:dyDescent="0.2">
      <c r="K26" s="35"/>
      <c r="L26" s="36"/>
      <c r="M26" s="36"/>
      <c r="N26" s="35"/>
      <c r="O26" s="36"/>
      <c r="Q26" s="1"/>
      <c r="R26" s="1"/>
      <c r="S26" s="27"/>
      <c r="T26" s="27"/>
    </row>
    <row r="27" spans="1:20" x14ac:dyDescent="0.2">
      <c r="K27" s="35"/>
      <c r="L27" s="36"/>
      <c r="M27" s="36"/>
      <c r="N27" s="35"/>
      <c r="O27" s="36"/>
      <c r="Q27" s="1"/>
      <c r="R27" s="1"/>
      <c r="S27" s="27"/>
      <c r="T27" s="27"/>
    </row>
    <row r="28" spans="1:20" x14ac:dyDescent="0.2">
      <c r="K28" s="35"/>
      <c r="L28" s="36"/>
      <c r="M28" s="36"/>
      <c r="N28" s="35"/>
      <c r="O28" s="36"/>
      <c r="Q28" s="1"/>
      <c r="R28" s="1"/>
      <c r="S28" s="27"/>
      <c r="T28" s="27"/>
    </row>
    <row r="29" spans="1:20" x14ac:dyDescent="0.2">
      <c r="K29" s="36"/>
      <c r="L29" s="36"/>
      <c r="M29" s="36"/>
      <c r="N29" s="36"/>
      <c r="O29" s="36"/>
    </row>
    <row r="30" spans="1:20" x14ac:dyDescent="0.2">
      <c r="K30" s="36"/>
      <c r="L30" s="36"/>
      <c r="M30" s="36"/>
      <c r="N30" s="36"/>
      <c r="O30" s="36"/>
    </row>
  </sheetData>
  <mergeCells count="1">
    <mergeCell ref="AA1:AB1"/>
  </mergeCells>
  <conditionalFormatting sqref="U2:Y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7F53-0A57-5647-BC7B-96D28562412E}">
  <dimension ref="A1:AL20"/>
  <sheetViews>
    <sheetView topLeftCell="I1" zoomScale="75" workbookViewId="0">
      <selection activeCell="Y1" sqref="Y1:Y1048576"/>
    </sheetView>
  </sheetViews>
  <sheetFormatPr baseColWidth="10" defaultRowHeight="16" x14ac:dyDescent="0.2"/>
  <cols>
    <col min="1" max="1" width="6.6640625" bestFit="1" customWidth="1"/>
    <col min="2" max="2" width="126.1640625" style="31" customWidth="1"/>
    <col min="3" max="3" width="16" bestFit="1" customWidth="1"/>
    <col min="4" max="4" width="16" style="1" bestFit="1" customWidth="1"/>
    <col min="5" max="5" width="17.5" bestFit="1" customWidth="1"/>
    <col min="6" max="6" width="14.83203125" bestFit="1" customWidth="1"/>
    <col min="7" max="7" width="20" bestFit="1" customWidth="1"/>
    <col min="8" max="8" width="19.33203125" bestFit="1" customWidth="1"/>
    <col min="9" max="10" width="17.33203125" bestFit="1" customWidth="1"/>
    <col min="11" max="11" width="18.5" bestFit="1" customWidth="1"/>
    <col min="12" max="14" width="18.6640625" bestFit="1" customWidth="1"/>
    <col min="15" max="15" width="19.83203125" bestFit="1" customWidth="1"/>
    <col min="17" max="17" width="12" bestFit="1" customWidth="1"/>
    <col min="18" max="18" width="10.1640625" bestFit="1" customWidth="1"/>
    <col min="19" max="19" width="19" bestFit="1" customWidth="1"/>
    <col min="20" max="21" width="19" customWidth="1"/>
    <col min="22" max="22" width="20.1640625" bestFit="1" customWidth="1"/>
    <col min="23" max="23" width="9.6640625" customWidth="1"/>
    <col min="24" max="24" width="5.33203125" bestFit="1" customWidth="1"/>
    <col min="26" max="26" width="14.1640625" bestFit="1" customWidth="1"/>
    <col min="27" max="27" width="23.1640625" bestFit="1" customWidth="1"/>
    <col min="29" max="29" width="16" style="1" bestFit="1" customWidth="1"/>
    <col min="30" max="30" width="20" bestFit="1" customWidth="1"/>
    <col min="31" max="31" width="18.6640625" bestFit="1" customWidth="1"/>
    <col min="33" max="33" width="16" style="1" bestFit="1" customWidth="1"/>
    <col min="34" max="34" width="20" bestFit="1" customWidth="1"/>
    <col min="35" max="35" width="18.6640625" bestFit="1" customWidth="1"/>
    <col min="37" max="37" width="14.33203125" bestFit="1" customWidth="1"/>
    <col min="38" max="38" width="24.83203125" bestFit="1" customWidth="1"/>
  </cols>
  <sheetData>
    <row r="1" spans="1:38" ht="17" x14ac:dyDescent="0.2">
      <c r="A1" s="3" t="s">
        <v>14</v>
      </c>
      <c r="B1" s="29" t="s">
        <v>451</v>
      </c>
      <c r="C1" s="3" t="s">
        <v>450</v>
      </c>
      <c r="D1" s="3" t="s">
        <v>475</v>
      </c>
      <c r="E1" s="3" t="s">
        <v>449</v>
      </c>
      <c r="F1" s="3" t="s">
        <v>448</v>
      </c>
      <c r="G1" s="3" t="s">
        <v>452</v>
      </c>
      <c r="H1" s="32" t="s">
        <v>474</v>
      </c>
      <c r="I1" s="32" t="s">
        <v>481</v>
      </c>
      <c r="J1" s="32" t="s">
        <v>482</v>
      </c>
      <c r="K1" s="4" t="s">
        <v>483</v>
      </c>
      <c r="L1" s="38" t="s">
        <v>473</v>
      </c>
      <c r="M1" s="32" t="s">
        <v>484</v>
      </c>
      <c r="N1" s="32" t="s">
        <v>485</v>
      </c>
      <c r="O1" s="25" t="s">
        <v>486</v>
      </c>
      <c r="Q1" s="3" t="s">
        <v>480</v>
      </c>
      <c r="R1" s="3" t="s">
        <v>479</v>
      </c>
      <c r="S1" s="3" t="str">
        <f>L1</f>
        <v>∆∆G - 0k_Proteins</v>
      </c>
      <c r="T1" s="3" t="str">
        <f>M1</f>
        <v>∆∆G - 1k_Proteins</v>
      </c>
      <c r="U1" s="3" t="str">
        <f>N1</f>
        <v>∆∆G - 5k_Proteins</v>
      </c>
      <c r="V1" s="3" t="str">
        <f>O1</f>
        <v>∆∆G - 10k_Proteins</v>
      </c>
      <c r="W1" s="3"/>
      <c r="Y1" s="3"/>
      <c r="Z1" s="28" t="s">
        <v>478</v>
      </c>
      <c r="AA1" s="28"/>
      <c r="AC1" s="3" t="s">
        <v>475</v>
      </c>
      <c r="AD1" s="3" t="s">
        <v>452</v>
      </c>
      <c r="AE1" s="24" t="s">
        <v>473</v>
      </c>
      <c r="AG1" s="3" t="s">
        <v>475</v>
      </c>
      <c r="AH1" s="3" t="s">
        <v>452</v>
      </c>
      <c r="AI1" s="24" t="s">
        <v>473</v>
      </c>
      <c r="AK1" s="28" t="s">
        <v>478</v>
      </c>
      <c r="AL1" s="28"/>
    </row>
    <row r="2" spans="1:38" ht="51" x14ac:dyDescent="0.2">
      <c r="A2" s="1">
        <v>0</v>
      </c>
      <c r="B2" s="30" t="s">
        <v>513</v>
      </c>
      <c r="C2" s="17" t="s">
        <v>519</v>
      </c>
      <c r="D2" s="17" t="s">
        <v>477</v>
      </c>
      <c r="E2" s="18" cm="1">
        <f t="array" aca="1" ref="E2" ca="1">SUMPRODUCT((MID($B$2,ROW(INDIRECT("1:"&amp;LEN($B$2))),1)&lt;&gt;MID(B2,ROW(INDIRECT("1:"&amp;LEN($B$2))),1))*1)</f>
        <v>0</v>
      </c>
      <c r="F2" cm="1">
        <f t="array" aca="1" ref="F2" ca="1">SUMPRODUCT((MID($C$2,ROW(INDIRECT("1:"&amp;LEN($C$2))),1)&lt;&gt;MID(C2,ROW(INDIRECT("1:"&amp;LEN($C$2))),1))*1)</f>
        <v>0</v>
      </c>
      <c r="G2" s="19">
        <v>0</v>
      </c>
      <c r="H2" s="1">
        <v>93.650755000000004</v>
      </c>
      <c r="I2" s="1">
        <v>-22.829207</v>
      </c>
      <c r="J2" s="1">
        <v>-20.357346</v>
      </c>
      <c r="K2" s="1">
        <v>-21.662904000000001</v>
      </c>
      <c r="L2">
        <f>H2-H$2</f>
        <v>0</v>
      </c>
      <c r="M2">
        <f>I2-I$2</f>
        <v>0</v>
      </c>
      <c r="N2">
        <f>J2-J$2</f>
        <v>0</v>
      </c>
      <c r="O2">
        <f>K2-K$2</f>
        <v>0</v>
      </c>
      <c r="Q2" s="2">
        <v>0.3</v>
      </c>
      <c r="R2" s="22">
        <f>SUM( COUNTIF(D$2:D$20,Q2))</f>
        <v>8</v>
      </c>
      <c r="S2" s="33">
        <v>0.61351499145055222</v>
      </c>
      <c r="T2" s="33">
        <v>0.77833380271318675</v>
      </c>
      <c r="U2" s="33">
        <v>0.81339285631936653</v>
      </c>
      <c r="V2" s="33">
        <v>0.81999491194500174</v>
      </c>
      <c r="W2" s="22"/>
      <c r="X2" s="33">
        <f>PEARSON($AD2:$AD9,AE2:AE9)</f>
        <v>0.81999491194500174</v>
      </c>
      <c r="Z2" t="s">
        <v>1</v>
      </c>
      <c r="AA2" s="1" t="s">
        <v>2</v>
      </c>
      <c r="AC2" s="1">
        <v>0.3</v>
      </c>
      <c r="AD2">
        <v>2.8869039999999999</v>
      </c>
      <c r="AE2">
        <v>2.7865180000000009</v>
      </c>
      <c r="AG2" s="17" t="s">
        <v>477</v>
      </c>
      <c r="AH2" s="19">
        <v>0</v>
      </c>
      <c r="AI2">
        <v>0</v>
      </c>
      <c r="AK2" t="s">
        <v>1</v>
      </c>
      <c r="AL2" s="1" t="s">
        <v>2</v>
      </c>
    </row>
    <row r="3" spans="1:38" ht="51" x14ac:dyDescent="0.2">
      <c r="B3" s="31" t="s">
        <v>513</v>
      </c>
      <c r="C3" t="s">
        <v>520</v>
      </c>
      <c r="D3" s="1">
        <v>0.3</v>
      </c>
      <c r="E3" s="18" cm="1">
        <f t="array" aca="1" ref="E3" ca="1">SUMPRODUCT((MID($B$2,ROW(INDIRECT("1:"&amp;LEN($B$2))),1)&lt;&gt;MID(B3,ROW(INDIRECT("1:"&amp;LEN($B$2))),1))*1)</f>
        <v>0</v>
      </c>
      <c r="F3" cm="1">
        <f t="array" aca="1" ref="F3" ca="1">SUMPRODUCT((MID($C$2,ROW(INDIRECT("1:"&amp;LEN($C$2))),1)&lt;&gt;MID(C3,ROW(INDIRECT("1:"&amp;LEN($C$2))),1))*1)</f>
        <v>1</v>
      </c>
      <c r="G3">
        <v>2.8869039999999999</v>
      </c>
      <c r="H3" s="1">
        <v>97.302828000000005</v>
      </c>
      <c r="I3">
        <v>-19.921068000000002</v>
      </c>
      <c r="J3">
        <v>-17.649688999999999</v>
      </c>
      <c r="K3" s="1">
        <v>-18.876386</v>
      </c>
      <c r="L3">
        <f t="shared" ref="L3:O18" si="0">H3-H$2</f>
        <v>3.6520730000000015</v>
      </c>
      <c r="M3">
        <f>I3-I$2</f>
        <v>2.9081389999999985</v>
      </c>
      <c r="N3">
        <f>J3-J$2</f>
        <v>2.7076570000000011</v>
      </c>
      <c r="O3">
        <f>K3-K$2</f>
        <v>2.7865180000000009</v>
      </c>
      <c r="Q3" s="2">
        <v>0.4</v>
      </c>
      <c r="R3" s="22" cm="1">
        <f t="array" ref="R3">SUM( COUNTIF(D$2:D$20,Q2:Q3))</f>
        <v>16</v>
      </c>
      <c r="S3" s="33">
        <v>0.30109992068322594</v>
      </c>
      <c r="T3" s="33">
        <v>0.28520666141090756</v>
      </c>
      <c r="U3" s="33">
        <v>0.39984278555885761</v>
      </c>
      <c r="V3" s="33">
        <v>0.41540078069998204</v>
      </c>
      <c r="W3" s="22"/>
      <c r="X3" s="33">
        <f>PEARSON($AE2:$AE17,AD2:AD17)</f>
        <v>0.41540078069998204</v>
      </c>
      <c r="Z3" t="s">
        <v>3</v>
      </c>
      <c r="AA3" s="1" t="s">
        <v>4</v>
      </c>
      <c r="AC3" s="1">
        <v>0.3</v>
      </c>
      <c r="AD3">
        <v>2.1039349999999999</v>
      </c>
      <c r="AE3">
        <v>0.52265099999999975</v>
      </c>
      <c r="AG3" s="1">
        <v>0.3</v>
      </c>
      <c r="AH3">
        <v>2.8869039999999999</v>
      </c>
      <c r="AI3">
        <v>2.7865180000000009</v>
      </c>
      <c r="AK3" t="s">
        <v>3</v>
      </c>
      <c r="AL3" s="1" t="s">
        <v>4</v>
      </c>
    </row>
    <row r="4" spans="1:38" ht="51" x14ac:dyDescent="0.2">
      <c r="B4" s="31" t="s">
        <v>513</v>
      </c>
      <c r="C4" t="s">
        <v>521</v>
      </c>
      <c r="D4" s="1">
        <v>0.3</v>
      </c>
      <c r="E4" s="18" cm="1">
        <f t="array" aca="1" ref="E4" ca="1">SUMPRODUCT((MID($B$2,ROW(INDIRECT("1:"&amp;LEN($B$2))),1)&lt;&gt;MID(B4,ROW(INDIRECT("1:"&amp;LEN($B$2))),1))*1)</f>
        <v>0</v>
      </c>
      <c r="F4" cm="1">
        <f t="array" aca="1" ref="F4" ca="1">SUMPRODUCT((MID($C$2,ROW(INDIRECT("1:"&amp;LEN($C$2))),1)&lt;&gt;MID(C4,ROW(INDIRECT("1:"&amp;LEN($C$2))),1))*1)</f>
        <v>1</v>
      </c>
      <c r="G4">
        <v>2.1039349999999999</v>
      </c>
      <c r="H4" s="1">
        <v>97.542242999999999</v>
      </c>
      <c r="I4">
        <v>-21.096159</v>
      </c>
      <c r="J4">
        <v>-19.744505</v>
      </c>
      <c r="K4" s="1">
        <v>-21.140253000000001</v>
      </c>
      <c r="L4">
        <f t="shared" si="0"/>
        <v>3.8914879999999954</v>
      </c>
      <c r="M4">
        <f>I4-I$2</f>
        <v>1.7330480000000001</v>
      </c>
      <c r="N4">
        <f>J4-J$2</f>
        <v>0.61284099999999953</v>
      </c>
      <c r="O4">
        <f>K4-K$2</f>
        <v>0.52265099999999975</v>
      </c>
      <c r="Q4" s="2">
        <v>0.5</v>
      </c>
      <c r="R4" s="22" cm="1">
        <f t="array" ref="R4">SUM( COUNTIF(D$2:D$20,Q2:Q4))</f>
        <v>16</v>
      </c>
      <c r="S4" s="33">
        <v>0.30109992068322594</v>
      </c>
      <c r="T4" s="33">
        <v>0.28520666141090756</v>
      </c>
      <c r="U4" s="33">
        <v>0.39984278555885761</v>
      </c>
      <c r="V4" s="33">
        <v>0.41540078069998204</v>
      </c>
      <c r="W4" s="22"/>
      <c r="X4" s="33">
        <f>PEARSON($AE2:$AE17,AD2:AD17)</f>
        <v>0.41540078069998204</v>
      </c>
      <c r="Z4" t="s">
        <v>5</v>
      </c>
      <c r="AA4" s="1" t="s">
        <v>6</v>
      </c>
      <c r="AC4" s="1">
        <v>0.3</v>
      </c>
      <c r="AD4">
        <v>4.8670369999999998</v>
      </c>
      <c r="AE4">
        <v>8.6301890000000014</v>
      </c>
      <c r="AG4" s="1">
        <v>0.3</v>
      </c>
      <c r="AH4">
        <v>2.1039349999999999</v>
      </c>
      <c r="AI4">
        <v>0.52265099999999975</v>
      </c>
      <c r="AK4" t="s">
        <v>5</v>
      </c>
      <c r="AL4" s="1" t="s">
        <v>6</v>
      </c>
    </row>
    <row r="5" spans="1:38" ht="51" x14ac:dyDescent="0.2">
      <c r="B5" s="31" t="s">
        <v>513</v>
      </c>
      <c r="C5" t="s">
        <v>522</v>
      </c>
      <c r="D5" s="1">
        <v>0.3</v>
      </c>
      <c r="E5" s="18" cm="1">
        <f t="array" aca="1" ref="E5" ca="1">SUMPRODUCT((MID($B$2,ROW(INDIRECT("1:"&amp;LEN($B$2))),1)&lt;&gt;MID(B5,ROW(INDIRECT("1:"&amp;LEN($B$2))),1))*1)</f>
        <v>0</v>
      </c>
      <c r="F5" cm="1">
        <f t="array" aca="1" ref="F5" ca="1">SUMPRODUCT((MID($C$2,ROW(INDIRECT("1:"&amp;LEN($C$2))),1)&lt;&gt;MID(C5,ROW(INDIRECT("1:"&amp;LEN($C$2))),1))*1)</f>
        <v>2</v>
      </c>
      <c r="G5">
        <v>4.8670369999999998</v>
      </c>
      <c r="H5" s="1">
        <v>101.167315</v>
      </c>
      <c r="I5">
        <v>-15.591955</v>
      </c>
      <c r="J5">
        <v>-12.542394</v>
      </c>
      <c r="K5" s="1">
        <v>-13.032715</v>
      </c>
      <c r="L5">
        <f t="shared" si="0"/>
        <v>7.5165599999999984</v>
      </c>
      <c r="M5">
        <f t="shared" si="0"/>
        <v>7.2372519999999998</v>
      </c>
      <c r="N5">
        <f t="shared" si="0"/>
        <v>7.8149519999999999</v>
      </c>
      <c r="O5">
        <f t="shared" si="0"/>
        <v>8.6301890000000014</v>
      </c>
      <c r="Q5" s="2">
        <v>0.7</v>
      </c>
      <c r="R5" s="22" cm="1">
        <f t="array" ref="R5">SUM(COUNTIF(D$2:D$20, Q2:Q5))</f>
        <v>16</v>
      </c>
      <c r="S5" s="33">
        <v>0.30109992068322594</v>
      </c>
      <c r="T5" s="33">
        <v>0.28520666141090756</v>
      </c>
      <c r="U5" s="33">
        <v>0.39984278555885761</v>
      </c>
      <c r="V5" s="33">
        <v>0.41540078069998204</v>
      </c>
      <c r="W5" s="22"/>
      <c r="X5" s="33">
        <f>PEARSON($AE2:$AE17,AD2:AD17)</f>
        <v>0.41540078069998204</v>
      </c>
      <c r="Z5" t="s">
        <v>7</v>
      </c>
      <c r="AA5" s="1" t="s">
        <v>8</v>
      </c>
      <c r="AC5" s="1">
        <v>0.3</v>
      </c>
      <c r="AD5">
        <v>0.243279</v>
      </c>
      <c r="AE5">
        <v>0.32327000000000083</v>
      </c>
      <c r="AG5" s="1">
        <v>0.3</v>
      </c>
      <c r="AH5">
        <v>4.8670369999999998</v>
      </c>
      <c r="AI5">
        <v>8.6301890000000014</v>
      </c>
      <c r="AK5" t="s">
        <v>7</v>
      </c>
      <c r="AL5" s="1" t="s">
        <v>8</v>
      </c>
    </row>
    <row r="6" spans="1:38" ht="51" x14ac:dyDescent="0.2">
      <c r="B6" s="31" t="s">
        <v>513</v>
      </c>
      <c r="C6" t="s">
        <v>523</v>
      </c>
      <c r="D6" s="1">
        <v>0.3</v>
      </c>
      <c r="E6" s="18" cm="1">
        <f t="array" aca="1" ref="E6" ca="1">SUMPRODUCT((MID($B$2,ROW(INDIRECT("1:"&amp;LEN($B$2))),1)&lt;&gt;MID(B6,ROW(INDIRECT("1:"&amp;LEN($B$2))),1))*1)</f>
        <v>0</v>
      </c>
      <c r="F6" cm="1">
        <f t="array" aca="1" ref="F6" ca="1">SUMPRODUCT((MID($C$2,ROW(INDIRECT("1:"&amp;LEN($C$2))),1)&lt;&gt;MID(C6,ROW(INDIRECT("1:"&amp;LEN($C$2))),1))*1)</f>
        <v>1</v>
      </c>
      <c r="G6">
        <v>0.243279</v>
      </c>
      <c r="H6" s="1">
        <v>97.590181999999999</v>
      </c>
      <c r="I6">
        <v>-20.996984999999999</v>
      </c>
      <c r="J6">
        <v>-19.864076000000001</v>
      </c>
      <c r="K6" s="1">
        <v>-21.339634</v>
      </c>
      <c r="L6">
        <f t="shared" si="0"/>
        <v>3.9394269999999949</v>
      </c>
      <c r="M6">
        <f t="shared" si="0"/>
        <v>1.8322220000000016</v>
      </c>
      <c r="N6">
        <f t="shared" si="0"/>
        <v>0.49326999999999899</v>
      </c>
      <c r="O6">
        <f t="shared" si="0"/>
        <v>0.32327000000000083</v>
      </c>
      <c r="Q6" s="2">
        <v>0.95</v>
      </c>
      <c r="R6" s="22" cm="1">
        <f t="array" ref="R6">SUM(COUNTIF(D$2:D$20, Q2:Q6))</f>
        <v>16</v>
      </c>
      <c r="S6" s="33">
        <v>0.30109992068322594</v>
      </c>
      <c r="T6" s="33">
        <v>0.28520666141090756</v>
      </c>
      <c r="U6" s="33">
        <v>0.39984278555885761</v>
      </c>
      <c r="V6" s="33">
        <v>0.41540078069998204</v>
      </c>
      <c r="W6" s="22"/>
      <c r="X6" s="33">
        <f>PEARSON($AE2:$AE17,AD2:AD17)</f>
        <v>0.41540078069998204</v>
      </c>
      <c r="Z6" t="s">
        <v>9</v>
      </c>
      <c r="AA6" s="1" t="s">
        <v>10</v>
      </c>
      <c r="AC6" s="1">
        <v>0.3</v>
      </c>
      <c r="AD6">
        <v>1.6880459999999999</v>
      </c>
      <c r="AE6">
        <v>4.7554000000001651E-2</v>
      </c>
      <c r="AG6" s="1">
        <v>0.3</v>
      </c>
      <c r="AH6">
        <v>0.243279</v>
      </c>
      <c r="AI6">
        <v>0.32327000000000083</v>
      </c>
      <c r="AK6" t="s">
        <v>9</v>
      </c>
      <c r="AL6" s="1" t="s">
        <v>10</v>
      </c>
    </row>
    <row r="7" spans="1:38" ht="51" x14ac:dyDescent="0.2">
      <c r="B7" s="31" t="s">
        <v>513</v>
      </c>
      <c r="C7" t="s">
        <v>524</v>
      </c>
      <c r="D7" s="1">
        <v>0.3</v>
      </c>
      <c r="E7" s="18" cm="1">
        <f t="array" aca="1" ref="E7" ca="1">SUMPRODUCT((MID($B$2,ROW(INDIRECT("1:"&amp;LEN($B$2))),1)&lt;&gt;MID(B7,ROW(INDIRECT("1:"&amp;LEN($B$2))),1))*1)</f>
        <v>0</v>
      </c>
      <c r="F7" cm="1">
        <f t="array" aca="1" ref="F7" ca="1">SUMPRODUCT((MID($C$2,ROW(INDIRECT("1:"&amp;LEN($C$2))),1)&lt;&gt;MID(C7,ROW(INDIRECT("1:"&amp;LEN($C$2))),1))*1)</f>
        <v>1</v>
      </c>
      <c r="G7">
        <v>1.6880459999999999</v>
      </c>
      <c r="H7" s="1">
        <v>97.615250000000003</v>
      </c>
      <c r="I7">
        <v>-21.594099</v>
      </c>
      <c r="J7">
        <v>-20.137467999999998</v>
      </c>
      <c r="K7" s="1">
        <v>-21.615349999999999</v>
      </c>
      <c r="L7">
        <f t="shared" si="0"/>
        <v>3.9644949999999994</v>
      </c>
      <c r="M7">
        <f t="shared" si="0"/>
        <v>1.2351080000000003</v>
      </c>
      <c r="N7">
        <f t="shared" si="0"/>
        <v>0.21987800000000135</v>
      </c>
      <c r="O7">
        <f t="shared" si="0"/>
        <v>4.7554000000001651E-2</v>
      </c>
      <c r="Z7" t="s">
        <v>11</v>
      </c>
      <c r="AA7" s="1" t="s">
        <v>12</v>
      </c>
      <c r="AC7" s="1">
        <v>0.3</v>
      </c>
      <c r="AD7">
        <v>1.484661</v>
      </c>
      <c r="AE7">
        <v>2.7868790000000025</v>
      </c>
      <c r="AG7" s="1">
        <v>0.3</v>
      </c>
      <c r="AH7">
        <v>1.6880459999999999</v>
      </c>
      <c r="AI7">
        <v>4.7554000000001651E-2</v>
      </c>
      <c r="AK7" t="s">
        <v>11</v>
      </c>
      <c r="AL7" s="1" t="s">
        <v>12</v>
      </c>
    </row>
    <row r="8" spans="1:38" ht="51" x14ac:dyDescent="0.2">
      <c r="B8" s="31" t="s">
        <v>514</v>
      </c>
      <c r="C8" t="s">
        <v>520</v>
      </c>
      <c r="D8" s="1">
        <v>0.4</v>
      </c>
      <c r="E8" s="18" cm="1">
        <f t="array" aca="1" ref="E8" ca="1">SUMPRODUCT((MID($B$2,ROW(INDIRECT("1:"&amp;LEN($B$2))),1)&lt;&gt;MID(B8,ROW(INDIRECT("1:"&amp;LEN($B$2))),1))*1)</f>
        <v>2</v>
      </c>
      <c r="F8" cm="1">
        <f t="array" aca="1" ref="F8" ca="1">SUMPRODUCT((MID($C$2,ROW(INDIRECT("1:"&amp;LEN($C$2))),1)&lt;&gt;MID(C8,ROW(INDIRECT("1:"&amp;LEN($C$2))),1))*1)</f>
        <v>1</v>
      </c>
      <c r="G8">
        <v>1.5154369999999999</v>
      </c>
      <c r="H8" s="1">
        <v>167.767177</v>
      </c>
      <c r="I8">
        <v>-19.941662000000001</v>
      </c>
      <c r="J8">
        <v>-17.669512000000001</v>
      </c>
      <c r="K8" s="1">
        <v>-18.891703</v>
      </c>
      <c r="L8">
        <f t="shared" si="0"/>
        <v>74.116422</v>
      </c>
      <c r="M8">
        <f t="shared" si="0"/>
        <v>2.8875449999999994</v>
      </c>
      <c r="N8">
        <f t="shared" si="0"/>
        <v>2.6878339999999987</v>
      </c>
      <c r="O8">
        <f t="shared" si="0"/>
        <v>2.7712010000000014</v>
      </c>
      <c r="Z8" t="s">
        <v>13</v>
      </c>
      <c r="AA8" s="1">
        <v>25</v>
      </c>
      <c r="AC8" s="1">
        <v>0.3</v>
      </c>
      <c r="AD8">
        <v>2.5735899999999998</v>
      </c>
      <c r="AE8">
        <v>0.52301200000000136</v>
      </c>
      <c r="AG8" s="1">
        <v>0.4</v>
      </c>
      <c r="AH8">
        <v>1.5154369999999999</v>
      </c>
      <c r="AI8">
        <v>2.7712010000000014</v>
      </c>
      <c r="AK8" t="s">
        <v>13</v>
      </c>
      <c r="AL8" s="1">
        <v>25</v>
      </c>
    </row>
    <row r="9" spans="1:38" ht="51" x14ac:dyDescent="0.2">
      <c r="B9" s="31" t="s">
        <v>514</v>
      </c>
      <c r="C9" t="s">
        <v>519</v>
      </c>
      <c r="D9" s="1">
        <v>0.4</v>
      </c>
      <c r="E9" s="18" cm="1">
        <f t="array" aca="1" ref="E9" ca="1">SUMPRODUCT((MID($B$2,ROW(INDIRECT("1:"&amp;LEN($B$2))),1)&lt;&gt;MID(B9,ROW(INDIRECT("1:"&amp;LEN($B$2))),1))*1)</f>
        <v>2</v>
      </c>
      <c r="F9" cm="1">
        <f t="array" aca="1" ref="F9" ca="1">SUMPRODUCT((MID($C$2,ROW(INDIRECT("1:"&amp;LEN($C$2))),1)&lt;&gt;MID(C9,ROW(INDIRECT("1:"&amp;LEN($C$2))),1))*1)</f>
        <v>0</v>
      </c>
      <c r="G9">
        <v>3.4467629999999998</v>
      </c>
      <c r="H9" s="1">
        <v>164.115104</v>
      </c>
      <c r="I9">
        <v>-22.849802</v>
      </c>
      <c r="J9">
        <v>-20.377168000000001</v>
      </c>
      <c r="K9" s="1">
        <v>-21.678221000000001</v>
      </c>
      <c r="L9">
        <f t="shared" si="0"/>
        <v>70.464348999999999</v>
      </c>
      <c r="M9">
        <f t="shared" si="0"/>
        <v>-2.0595000000000141E-2</v>
      </c>
      <c r="N9">
        <f t="shared" si="0"/>
        <v>-1.9822000000001339E-2</v>
      </c>
      <c r="O9">
        <f t="shared" si="0"/>
        <v>-1.5316999999999581E-2</v>
      </c>
      <c r="AC9" s="1">
        <v>0.3</v>
      </c>
      <c r="AD9">
        <v>1.665114</v>
      </c>
      <c r="AE9">
        <v>3.6000000000058208E-4</v>
      </c>
      <c r="AG9" s="1">
        <v>0.4</v>
      </c>
      <c r="AH9">
        <v>3.4467629999999998</v>
      </c>
      <c r="AI9">
        <v>-1.5316999999999581E-2</v>
      </c>
    </row>
    <row r="10" spans="1:38" ht="51" x14ac:dyDescent="0.2">
      <c r="B10" s="31" t="s">
        <v>515</v>
      </c>
      <c r="C10" t="s">
        <v>522</v>
      </c>
      <c r="D10" s="1">
        <v>0.4</v>
      </c>
      <c r="E10" s="18" cm="1">
        <f t="array" aca="1" ref="E10" ca="1">SUMPRODUCT((MID($B$2,ROW(INDIRECT("1:"&amp;LEN($B$2))),1)&lt;&gt;MID(B10,ROW(INDIRECT("1:"&amp;LEN($B$2))),1))*1)</f>
        <v>4</v>
      </c>
      <c r="F10" cm="1">
        <f t="array" aca="1" ref="F10" ca="1">SUMPRODUCT((MID($C$2,ROW(INDIRECT("1:"&amp;LEN($C$2))),1)&lt;&gt;MID(C10,ROW(INDIRECT("1:"&amp;LEN($C$2))),1))*1)</f>
        <v>2</v>
      </c>
      <c r="G10">
        <v>2.1746050000000001</v>
      </c>
      <c r="H10" s="1">
        <v>107.256173</v>
      </c>
      <c r="I10">
        <v>-15.445482999999999</v>
      </c>
      <c r="J10">
        <v>-12.499976</v>
      </c>
      <c r="K10" s="1">
        <v>-13.001867000000001</v>
      </c>
      <c r="L10">
        <f t="shared" si="0"/>
        <v>13.605418</v>
      </c>
      <c r="M10">
        <f t="shared" si="0"/>
        <v>7.3837240000000008</v>
      </c>
      <c r="N10">
        <f t="shared" si="0"/>
        <v>7.8573699999999995</v>
      </c>
      <c r="O10">
        <f t="shared" si="0"/>
        <v>8.6610370000000003</v>
      </c>
      <c r="AC10" s="1">
        <v>0.4</v>
      </c>
      <c r="AD10">
        <v>1.5154369999999999</v>
      </c>
      <c r="AE10">
        <v>2.7712010000000014</v>
      </c>
      <c r="AG10" s="1">
        <v>0.4</v>
      </c>
      <c r="AH10">
        <v>2.1746050000000001</v>
      </c>
      <c r="AI10">
        <v>8.6610370000000003</v>
      </c>
    </row>
    <row r="11" spans="1:38" ht="51" x14ac:dyDescent="0.2">
      <c r="B11" s="31" t="s">
        <v>515</v>
      </c>
      <c r="C11" t="s">
        <v>519</v>
      </c>
      <c r="D11" s="1">
        <v>0.4</v>
      </c>
      <c r="E11" s="18" cm="1">
        <f t="array" aca="1" ref="E11" ca="1">SUMPRODUCT((MID($B$2,ROW(INDIRECT("1:"&amp;LEN($B$2))),1)&lt;&gt;MID(B11,ROW(INDIRECT("1:"&amp;LEN($B$2))),1))*1)</f>
        <v>4</v>
      </c>
      <c r="F11" cm="1">
        <f t="array" aca="1" ref="F11" ca="1">SUMPRODUCT((MID($C$2,ROW(INDIRECT("1:"&amp;LEN($C$2))),1)&lt;&gt;MID(C11,ROW(INDIRECT("1:"&amp;LEN($C$2))),1))*1)</f>
        <v>0</v>
      </c>
      <c r="G11">
        <v>4.2884570000000002</v>
      </c>
      <c r="H11" s="1">
        <v>188.27420100000001</v>
      </c>
      <c r="I11">
        <v>-22.764847</v>
      </c>
      <c r="J11">
        <v>-20.347508999999999</v>
      </c>
      <c r="K11" s="1">
        <v>-21.654154999999999</v>
      </c>
      <c r="L11">
        <f t="shared" si="0"/>
        <v>94.623446000000001</v>
      </c>
      <c r="M11">
        <f>I11-I$2</f>
        <v>6.4360000000000639E-2</v>
      </c>
      <c r="N11">
        <f>J11-J$2</f>
        <v>9.8370000000009838E-3</v>
      </c>
      <c r="O11">
        <f>K11-K$2</f>
        <v>8.7490000000016721E-3</v>
      </c>
      <c r="AC11" s="1">
        <v>0.4</v>
      </c>
      <c r="AD11">
        <v>3.4467629999999998</v>
      </c>
      <c r="AE11">
        <v>-1.5316999999999581E-2</v>
      </c>
      <c r="AG11" s="1">
        <v>0.4</v>
      </c>
      <c r="AH11">
        <v>4.2884570000000002</v>
      </c>
      <c r="AI11">
        <v>8.7490000000016721E-3</v>
      </c>
    </row>
    <row r="12" spans="1:38" ht="51" x14ac:dyDescent="0.2">
      <c r="B12" s="31" t="s">
        <v>516</v>
      </c>
      <c r="C12" t="s">
        <v>523</v>
      </c>
      <c r="D12" s="1">
        <v>0.4</v>
      </c>
      <c r="E12" s="18" cm="1">
        <f t="array" aca="1" ref="E12" ca="1">SUMPRODUCT((MID($B$2,ROW(INDIRECT("1:"&amp;LEN($B$2))),1)&lt;&gt;MID(B12,ROW(INDIRECT("1:"&amp;LEN($B$2))),1))*1)</f>
        <v>2</v>
      </c>
      <c r="F12" cm="1">
        <f t="array" aca="1" ref="F12" ca="1">SUMPRODUCT((MID($C$2,ROW(INDIRECT("1:"&amp;LEN($C$2))),1)&lt;&gt;MID(C12,ROW(INDIRECT("1:"&amp;LEN($C$2))),1))*1)</f>
        <v>1</v>
      </c>
      <c r="G12">
        <v>-1.3451759999999999</v>
      </c>
      <c r="H12" s="1">
        <v>96.974540000000005</v>
      </c>
      <c r="I12">
        <v>-20.996421000000002</v>
      </c>
      <c r="J12">
        <v>-19.863353</v>
      </c>
      <c r="K12" s="1">
        <v>-21.338612999999999</v>
      </c>
      <c r="L12">
        <f t="shared" si="0"/>
        <v>3.3237850000000009</v>
      </c>
      <c r="M12">
        <f>I12-I$2</f>
        <v>1.8327859999999987</v>
      </c>
      <c r="N12">
        <f>J12-J$2</f>
        <v>0.49399299999999968</v>
      </c>
      <c r="O12">
        <f>K12-K$2</f>
        <v>0.32429100000000233</v>
      </c>
      <c r="AC12" s="1">
        <v>0.4</v>
      </c>
      <c r="AD12">
        <v>2.1746050000000001</v>
      </c>
      <c r="AE12">
        <v>8.6610370000000003</v>
      </c>
      <c r="AG12" s="1">
        <v>0.4</v>
      </c>
      <c r="AH12">
        <v>-1.3451759999999999</v>
      </c>
      <c r="AI12">
        <v>0.32429100000000233</v>
      </c>
    </row>
    <row r="13" spans="1:38" ht="51" x14ac:dyDescent="0.2">
      <c r="B13" s="31" t="s">
        <v>516</v>
      </c>
      <c r="C13" t="s">
        <v>519</v>
      </c>
      <c r="D13" s="1">
        <v>0.4</v>
      </c>
      <c r="E13" s="18" cm="1">
        <f t="array" aca="1" ref="E13" ca="1">SUMPRODUCT((MID($B$2,ROW(INDIRECT("1:"&amp;LEN($B$2))),1)&lt;&gt;MID(B13,ROW(INDIRECT("1:"&amp;LEN($B$2))),1))*1)</f>
        <v>2</v>
      </c>
      <c r="F13" cm="1">
        <f t="array" aca="1" ref="F13" ca="1">SUMPRODUCT((MID($C$2,ROW(INDIRECT("1:"&amp;LEN($C$2))),1)&lt;&gt;MID(C13,ROW(INDIRECT("1:"&amp;LEN($C$2))),1))*1)</f>
        <v>0</v>
      </c>
      <c r="G13">
        <v>1.0581529999999999</v>
      </c>
      <c r="H13" s="1">
        <v>93.041715999999994</v>
      </c>
      <c r="I13">
        <v>-22.826208000000001</v>
      </c>
      <c r="J13">
        <v>-20.356048000000001</v>
      </c>
      <c r="K13" s="1">
        <v>-21.661549000000001</v>
      </c>
      <c r="L13">
        <f t="shared" si="0"/>
        <v>-0.60903900000000988</v>
      </c>
      <c r="M13">
        <f>I13-I$2</f>
        <v>2.9989999999990857E-3</v>
      </c>
      <c r="N13">
        <f>J13-J$2</f>
        <v>1.297999999998467E-3</v>
      </c>
      <c r="O13">
        <f>K13-K$2</f>
        <v>1.3550000000002171E-3</v>
      </c>
      <c r="AC13" s="1">
        <v>0.4</v>
      </c>
      <c r="AD13">
        <v>4.2884570000000002</v>
      </c>
      <c r="AE13">
        <v>8.7490000000016721E-3</v>
      </c>
      <c r="AG13" s="1">
        <v>0.4</v>
      </c>
      <c r="AH13">
        <v>1.0581529999999999</v>
      </c>
      <c r="AI13">
        <v>1.3550000000002171E-3</v>
      </c>
    </row>
    <row r="14" spans="1:38" ht="51" x14ac:dyDescent="0.2">
      <c r="B14" s="31" t="s">
        <v>517</v>
      </c>
      <c r="C14" t="s">
        <v>520</v>
      </c>
      <c r="D14" s="1">
        <v>0.3</v>
      </c>
      <c r="E14" s="18" cm="1">
        <f t="array" aca="1" ref="E14" ca="1">SUMPRODUCT((MID($B$2,ROW(INDIRECT("1:"&amp;LEN($B$2))),1)&lt;&gt;MID(B14,ROW(INDIRECT("1:"&amp;LEN($B$2))),1))*1)</f>
        <v>1</v>
      </c>
      <c r="F14" cm="1">
        <f t="array" aca="1" ref="F14" ca="1">SUMPRODUCT((MID($C$2,ROW(INDIRECT("1:"&amp;LEN($C$2))),1)&lt;&gt;MID(C14,ROW(INDIRECT("1:"&amp;LEN($C$2))),1))*1)</f>
        <v>1</v>
      </c>
      <c r="G14">
        <v>1.484661</v>
      </c>
      <c r="H14" s="1">
        <v>97.287598000000003</v>
      </c>
      <c r="I14">
        <v>-19.920486</v>
      </c>
      <c r="J14">
        <v>-17.649270999999999</v>
      </c>
      <c r="K14" s="1">
        <v>-18.876024999999998</v>
      </c>
      <c r="L14">
        <f t="shared" si="0"/>
        <v>3.6368429999999989</v>
      </c>
      <c r="M14">
        <f t="shared" si="0"/>
        <v>2.9087209999999999</v>
      </c>
      <c r="N14">
        <f t="shared" si="0"/>
        <v>2.7080750000000009</v>
      </c>
      <c r="O14">
        <f t="shared" si="0"/>
        <v>2.7868790000000025</v>
      </c>
      <c r="AC14" s="1">
        <v>0.4</v>
      </c>
      <c r="AD14">
        <v>-1.3451759999999999</v>
      </c>
      <c r="AE14">
        <v>0.32429100000000233</v>
      </c>
      <c r="AG14" s="1">
        <v>0.3</v>
      </c>
      <c r="AH14">
        <v>1.484661</v>
      </c>
      <c r="AI14">
        <v>2.7868790000000025</v>
      </c>
    </row>
    <row r="15" spans="1:38" ht="51" x14ac:dyDescent="0.2">
      <c r="B15" s="31" t="s">
        <v>517</v>
      </c>
      <c r="C15" t="s">
        <v>521</v>
      </c>
      <c r="D15" s="1">
        <v>0.3</v>
      </c>
      <c r="E15" s="18" cm="1">
        <f t="array" aca="1" ref="E15" ca="1">SUMPRODUCT((MID($B$2,ROW(INDIRECT("1:"&amp;LEN($B$2))),1)&lt;&gt;MID(B15,ROW(INDIRECT("1:"&amp;LEN($B$2))),1))*1)</f>
        <v>1</v>
      </c>
      <c r="F15" cm="1">
        <f t="array" aca="1" ref="F15" ca="1">SUMPRODUCT((MID($C$2,ROW(INDIRECT("1:"&amp;LEN($C$2))),1)&lt;&gt;MID(C15,ROW(INDIRECT("1:"&amp;LEN($C$2))),1))*1)</f>
        <v>1</v>
      </c>
      <c r="G15">
        <v>2.5735899999999998</v>
      </c>
      <c r="H15" s="1">
        <v>97.527012999999997</v>
      </c>
      <c r="I15">
        <v>-21.095576999999999</v>
      </c>
      <c r="J15">
        <v>-19.744087</v>
      </c>
      <c r="K15" s="1">
        <v>-21.139892</v>
      </c>
      <c r="L15">
        <f t="shared" si="0"/>
        <v>3.8762579999999929</v>
      </c>
      <c r="M15">
        <f>I15-I$2</f>
        <v>1.7336300000000016</v>
      </c>
      <c r="N15">
        <f>J15-J$2</f>
        <v>0.61325899999999933</v>
      </c>
      <c r="O15">
        <f>K15-K$2</f>
        <v>0.52301200000000136</v>
      </c>
      <c r="AC15" s="1">
        <v>0.4</v>
      </c>
      <c r="AD15">
        <v>1.0581529999999999</v>
      </c>
      <c r="AE15">
        <v>1.3550000000002171E-3</v>
      </c>
      <c r="AG15" s="1">
        <v>0.3</v>
      </c>
      <c r="AH15">
        <v>2.5735899999999998</v>
      </c>
      <c r="AI15">
        <v>0.52301200000000136</v>
      </c>
    </row>
    <row r="16" spans="1:38" ht="51" x14ac:dyDescent="0.2">
      <c r="B16" s="31" t="s">
        <v>517</v>
      </c>
      <c r="C16" t="s">
        <v>519</v>
      </c>
      <c r="D16" s="1">
        <v>0.3</v>
      </c>
      <c r="E16" s="18" cm="1">
        <f t="array" aca="1" ref="E16" ca="1">SUMPRODUCT((MID($B$2,ROW(INDIRECT("1:"&amp;LEN($B$2))),1)&lt;&gt;MID(B16,ROW(INDIRECT("1:"&amp;LEN($B$2))),1))*1)</f>
        <v>1</v>
      </c>
      <c r="F16" cm="1">
        <f t="array" aca="1" ref="F16" ca="1">SUMPRODUCT((MID($C$2,ROW(INDIRECT("1:"&amp;LEN($C$2))),1)&lt;&gt;MID(C16,ROW(INDIRECT("1:"&amp;LEN($C$2))),1))*1)</f>
        <v>0</v>
      </c>
      <c r="G16">
        <v>1.665114</v>
      </c>
      <c r="H16" s="1">
        <v>93.635524000000004</v>
      </c>
      <c r="I16">
        <v>-22.828624999999999</v>
      </c>
      <c r="J16">
        <v>-20.356928</v>
      </c>
      <c r="K16" s="1">
        <v>-21.662544</v>
      </c>
      <c r="L16">
        <f t="shared" si="0"/>
        <v>-1.5230999999999995E-2</v>
      </c>
      <c r="M16">
        <f>I16-I$2</f>
        <v>5.8200000000141472E-4</v>
      </c>
      <c r="N16">
        <f>J16-J$2</f>
        <v>4.1799999999980741E-4</v>
      </c>
      <c r="O16">
        <f>K16-K$2</f>
        <v>3.6000000000058208E-4</v>
      </c>
      <c r="AC16" s="1">
        <v>0.4</v>
      </c>
      <c r="AD16">
        <v>2.4493000000000001E-2</v>
      </c>
      <c r="AE16">
        <v>3.9933000000001329E-2</v>
      </c>
      <c r="AG16" s="1">
        <v>0.3</v>
      </c>
      <c r="AH16">
        <v>1.665114</v>
      </c>
      <c r="AI16">
        <v>3.6000000000058208E-4</v>
      </c>
    </row>
    <row r="17" spans="2:35" ht="51" x14ac:dyDescent="0.2">
      <c r="B17" s="31" t="s">
        <v>518</v>
      </c>
      <c r="C17" t="s">
        <v>524</v>
      </c>
      <c r="D17" s="1">
        <v>0.4</v>
      </c>
      <c r="E17" s="18" cm="1">
        <f t="array" aca="1" ref="E17" ca="1">SUMPRODUCT((MID($B$2,ROW(INDIRECT("1:"&amp;LEN($B$2))),1)&lt;&gt;MID(B17,ROW(INDIRECT("1:"&amp;LEN($B$2))),1))*1)</f>
        <v>1</v>
      </c>
      <c r="F17" cm="1">
        <f t="array" aca="1" ref="F17" ca="1">SUMPRODUCT((MID($C$2,ROW(INDIRECT("1:"&amp;LEN($C$2))),1)&lt;&gt;MID(C17,ROW(INDIRECT("1:"&amp;LEN($C$2))),1))*1)</f>
        <v>1</v>
      </c>
      <c r="G17">
        <v>2.4493000000000001E-2</v>
      </c>
      <c r="H17" s="1">
        <v>136.74686600000001</v>
      </c>
      <c r="I17">
        <v>-21.603667999999999</v>
      </c>
      <c r="J17">
        <v>-20.147576000000001</v>
      </c>
      <c r="K17" s="1">
        <v>-21.622971</v>
      </c>
      <c r="L17">
        <f t="shared" si="0"/>
        <v>43.096111000000008</v>
      </c>
      <c r="M17">
        <f>I17-I$2</f>
        <v>1.2255390000000013</v>
      </c>
      <c r="N17">
        <f>J17-J$2</f>
        <v>0.2097699999999989</v>
      </c>
      <c r="O17">
        <f>K17-K$2</f>
        <v>3.9933000000001329E-2</v>
      </c>
      <c r="AC17" s="1">
        <v>0.4</v>
      </c>
      <c r="AD17">
        <v>1.0581529999999999</v>
      </c>
      <c r="AE17">
        <v>-7.6219999999977972E-3</v>
      </c>
      <c r="AG17" s="1">
        <v>0.4</v>
      </c>
      <c r="AH17">
        <v>2.4493000000000001E-2</v>
      </c>
      <c r="AI17">
        <v>3.9933000000001329E-2</v>
      </c>
    </row>
    <row r="18" spans="2:35" ht="51" x14ac:dyDescent="0.2">
      <c r="B18" s="31" t="s">
        <v>518</v>
      </c>
      <c r="C18" t="s">
        <v>519</v>
      </c>
      <c r="D18" s="1">
        <v>0.4</v>
      </c>
      <c r="E18" s="18" cm="1">
        <f t="array" aca="1" ref="E18" ca="1">SUMPRODUCT((MID($B$2,ROW(INDIRECT("1:"&amp;LEN($B$2))),1)&lt;&gt;MID(B18,ROW(INDIRECT("1:"&amp;LEN($B$2))),1))*1)</f>
        <v>1</v>
      </c>
      <c r="F18" cm="1">
        <f t="array" aca="1" ref="F18" ca="1">SUMPRODUCT((MID($C$2,ROW(INDIRECT("1:"&amp;LEN($C$2))),1)&lt;&gt;MID(C18,ROW(INDIRECT("1:"&amp;LEN($C$2))),1))*1)</f>
        <v>0</v>
      </c>
      <c r="G18">
        <v>1.0581529999999999</v>
      </c>
      <c r="H18" s="1">
        <v>132.78237100000001</v>
      </c>
      <c r="I18">
        <v>-22.838777</v>
      </c>
      <c r="J18">
        <v>-20.367453999999999</v>
      </c>
      <c r="K18" s="1">
        <v>-21.670525999999999</v>
      </c>
      <c r="L18">
        <f t="shared" si="0"/>
        <v>39.131616000000008</v>
      </c>
      <c r="M18">
        <f>I18-I$2</f>
        <v>-9.5700000000000784E-3</v>
      </c>
      <c r="N18">
        <f>J18-J$2</f>
        <v>-1.0107999999998896E-2</v>
      </c>
      <c r="O18">
        <f>K18-K$2</f>
        <v>-7.6219999999977972E-3</v>
      </c>
      <c r="AC18" s="17" t="s">
        <v>477</v>
      </c>
      <c r="AD18" s="19">
        <v>0</v>
      </c>
      <c r="AE18">
        <v>0</v>
      </c>
      <c r="AG18" s="1">
        <v>0.4</v>
      </c>
      <c r="AH18">
        <v>1.0581529999999999</v>
      </c>
      <c r="AI18">
        <v>-7.6219999999977972E-3</v>
      </c>
    </row>
    <row r="19" spans="2:35" x14ac:dyDescent="0.2">
      <c r="H19" s="1"/>
      <c r="K19" s="1"/>
    </row>
    <row r="20" spans="2:35" ht="17" x14ac:dyDescent="0.2">
      <c r="B20" s="37" t="s">
        <v>541</v>
      </c>
      <c r="H20" s="34"/>
    </row>
  </sheetData>
  <sortState xmlns:xlrd2="http://schemas.microsoft.com/office/spreadsheetml/2017/richdata2" ref="AC2:AE20">
    <sortCondition ref="AC1:AC20"/>
  </sortState>
  <mergeCells count="2">
    <mergeCell ref="Z1:AA1"/>
    <mergeCell ref="AK1:AL1"/>
  </mergeCells>
  <conditionalFormatting sqref="X2:X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V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X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F19E-181F-8F46-BED6-BDD1BE31F459}">
  <dimension ref="A1:AL16"/>
  <sheetViews>
    <sheetView topLeftCell="N1" workbookViewId="0">
      <selection activeCell="Y1" sqref="Y1:Y6"/>
    </sheetView>
  </sheetViews>
  <sheetFormatPr baseColWidth="10" defaultRowHeight="16" x14ac:dyDescent="0.2"/>
  <cols>
    <col min="1" max="1" width="6.6640625" bestFit="1" customWidth="1"/>
    <col min="2" max="2" width="87.83203125" bestFit="1" customWidth="1"/>
    <col min="3" max="3" width="46.83203125" bestFit="1" customWidth="1"/>
    <col min="4" max="4" width="16" bestFit="1" customWidth="1"/>
    <col min="5" max="5" width="17.5" bestFit="1" customWidth="1"/>
    <col min="6" max="6" width="14.83203125" bestFit="1" customWidth="1"/>
    <col min="7" max="7" width="20" bestFit="1" customWidth="1"/>
    <col min="8" max="10" width="17.33203125" bestFit="1" customWidth="1"/>
    <col min="11" max="11" width="18.5" style="1" bestFit="1" customWidth="1"/>
    <col min="12" max="12" width="18.5" style="1" customWidth="1"/>
    <col min="13" max="13" width="18.6640625" bestFit="1" customWidth="1"/>
    <col min="14" max="15" width="17.33203125" bestFit="1" customWidth="1"/>
    <col min="16" max="16" width="18.5" bestFit="1" customWidth="1"/>
    <col min="17" max="17" width="18.5" customWidth="1"/>
    <col min="19" max="19" width="11.6640625" bestFit="1" customWidth="1"/>
    <col min="20" max="20" width="9.6640625" bestFit="1" customWidth="1"/>
    <col min="21" max="22" width="18.6640625" bestFit="1" customWidth="1"/>
    <col min="23" max="23" width="18.6640625" customWidth="1"/>
    <col min="24" max="24" width="19.83203125" bestFit="1" customWidth="1"/>
    <col min="25" max="25" width="19.83203125" customWidth="1"/>
    <col min="26" max="26" width="18.6640625" customWidth="1"/>
    <col min="27" max="27" width="6.6640625" bestFit="1" customWidth="1"/>
    <col min="29" max="29" width="14.1640625" bestFit="1" customWidth="1"/>
    <col min="30" max="30" width="23.1640625" bestFit="1" customWidth="1"/>
    <col min="32" max="32" width="16" bestFit="1" customWidth="1"/>
    <col min="33" max="33" width="20" bestFit="1" customWidth="1"/>
    <col min="34" max="34" width="18.6640625" bestFit="1" customWidth="1"/>
    <col min="36" max="36" width="16" bestFit="1" customWidth="1"/>
    <col min="37" max="37" width="20" bestFit="1" customWidth="1"/>
  </cols>
  <sheetData>
    <row r="1" spans="1:38" x14ac:dyDescent="0.2">
      <c r="A1" s="3" t="s">
        <v>14</v>
      </c>
      <c r="B1" s="3" t="s">
        <v>451</v>
      </c>
      <c r="C1" s="3" t="s">
        <v>450</v>
      </c>
      <c r="D1" s="3" t="s">
        <v>475</v>
      </c>
      <c r="E1" s="3" t="s">
        <v>449</v>
      </c>
      <c r="F1" s="3" t="s">
        <v>448</v>
      </c>
      <c r="G1" s="3" t="s">
        <v>452</v>
      </c>
      <c r="H1" s="4" t="s">
        <v>474</v>
      </c>
      <c r="I1" s="4" t="s">
        <v>481</v>
      </c>
      <c r="J1" s="4" t="s">
        <v>482</v>
      </c>
      <c r="K1" s="4" t="s">
        <v>483</v>
      </c>
      <c r="L1" s="4" t="s">
        <v>511</v>
      </c>
      <c r="M1" s="24" t="s">
        <v>473</v>
      </c>
      <c r="N1" s="25" t="s">
        <v>484</v>
      </c>
      <c r="O1" s="25" t="s">
        <v>485</v>
      </c>
      <c r="P1" s="25" t="s">
        <v>486</v>
      </c>
      <c r="Q1" s="25" t="s">
        <v>512</v>
      </c>
      <c r="S1" s="3" t="s">
        <v>480</v>
      </c>
      <c r="T1" s="3" t="s">
        <v>479</v>
      </c>
      <c r="U1" s="3" t="str">
        <f>M1</f>
        <v>∆∆G - 0k_Proteins</v>
      </c>
      <c r="V1" s="3" t="str">
        <f>N1</f>
        <v>∆∆G - 1k_Proteins</v>
      </c>
      <c r="W1" s="3" t="str">
        <f>O1</f>
        <v>∆∆G - 5k_Proteins</v>
      </c>
      <c r="X1" s="3" t="str">
        <f>P1</f>
        <v>∆∆G - 10k_Proteins</v>
      </c>
      <c r="Y1" s="3" t="str">
        <f>Q1</f>
        <v>∆∆G - 100k_Proteins</v>
      </c>
      <c r="Z1" s="3"/>
      <c r="AB1" s="3"/>
      <c r="AC1" s="28" t="s">
        <v>478</v>
      </c>
      <c r="AD1" s="28"/>
      <c r="AF1" s="3" t="s">
        <v>475</v>
      </c>
      <c r="AG1" s="3" t="s">
        <v>452</v>
      </c>
      <c r="AH1" s="24" t="s">
        <v>473</v>
      </c>
      <c r="AJ1" s="3" t="s">
        <v>475</v>
      </c>
      <c r="AK1" s="3" t="s">
        <v>452</v>
      </c>
      <c r="AL1" s="24" t="s">
        <v>473</v>
      </c>
    </row>
    <row r="2" spans="1:38" x14ac:dyDescent="0.2">
      <c r="A2" s="1">
        <v>0</v>
      </c>
      <c r="B2" s="17" t="s">
        <v>525</v>
      </c>
      <c r="C2" s="17" t="s">
        <v>526</v>
      </c>
      <c r="D2" s="17" t="s">
        <v>477</v>
      </c>
      <c r="E2" s="18" cm="1">
        <f t="array" aca="1" ref="E2" ca="1">SUMPRODUCT((MID($B$2,ROW(INDIRECT("1:"&amp;LEN($B$2))),1)&lt;&gt;MID(B2,ROW(INDIRECT("1:"&amp;LEN($B$2))),1))*1)</f>
        <v>0</v>
      </c>
      <c r="F2" cm="1">
        <f t="array" aca="1" ref="F2" ca="1">SUMPRODUCT((MID($C$2,ROW(INDIRECT("1:"&amp;LEN($C$2))),1)&lt;&gt;MID(C2,ROW(INDIRECT("1:"&amp;LEN($C$2))),1))*1)</f>
        <v>0</v>
      </c>
      <c r="G2" s="1">
        <v>0</v>
      </c>
      <c r="H2" s="1">
        <v>-1.0182800000000001</v>
      </c>
      <c r="I2" s="1">
        <v>-5.6767640000000004</v>
      </c>
      <c r="J2" s="1">
        <v>-7.0531639999999998</v>
      </c>
      <c r="K2" s="1">
        <v>-8.0334160000000008</v>
      </c>
      <c r="L2" s="1">
        <v>-15.614584000000001</v>
      </c>
      <c r="M2">
        <f>H2-H$2</f>
        <v>0</v>
      </c>
      <c r="N2">
        <f>I2-I$2</f>
        <v>0</v>
      </c>
      <c r="O2">
        <f>J2-J$2</f>
        <v>0</v>
      </c>
      <c r="P2">
        <f>K2-K$2</f>
        <v>0</v>
      </c>
      <c r="Q2">
        <f>L2-L$2</f>
        <v>0</v>
      </c>
      <c r="S2" s="2">
        <v>0.3</v>
      </c>
      <c r="T2" s="22">
        <f>SUM( COUNTIF(D$2:D$20,S2))</f>
        <v>4</v>
      </c>
      <c r="U2" s="23">
        <v>3.4142954092802685E-2</v>
      </c>
      <c r="V2" s="23">
        <v>0.256340068769077</v>
      </c>
      <c r="W2" s="23">
        <v>0.25724524725461212</v>
      </c>
      <c r="X2" s="23">
        <v>0.27774743884138592</v>
      </c>
      <c r="Y2" s="23">
        <v>0.28930502557420101</v>
      </c>
      <c r="Z2" s="23"/>
      <c r="AA2" s="23">
        <f>PEARSON(AG2:AG5,AH2:AH5)</f>
        <v>0.28930502557420101</v>
      </c>
      <c r="AC2" t="s">
        <v>1</v>
      </c>
      <c r="AD2" s="1" t="s">
        <v>2</v>
      </c>
      <c r="AF2" s="1">
        <v>0.3</v>
      </c>
      <c r="AG2" s="1">
        <v>2.2107060000000001</v>
      </c>
      <c r="AH2">
        <v>-0.93809399999999954</v>
      </c>
      <c r="AJ2" s="17" t="s">
        <v>477</v>
      </c>
      <c r="AK2" s="1">
        <v>0</v>
      </c>
      <c r="AL2">
        <v>0</v>
      </c>
    </row>
    <row r="3" spans="1:38" x14ac:dyDescent="0.2">
      <c r="A3" s="1">
        <v>1</v>
      </c>
      <c r="B3" t="s">
        <v>525</v>
      </c>
      <c r="C3" t="s">
        <v>527</v>
      </c>
      <c r="D3" s="1">
        <v>0.4</v>
      </c>
      <c r="E3" s="18" cm="1">
        <f t="array" aca="1" ref="E3" ca="1">SUMPRODUCT((MID($B$2,ROW(INDIRECT("1:"&amp;LEN($B$2))),1)&lt;&gt;MID(B3,ROW(INDIRECT("1:"&amp;LEN($B$2))),1))*1)</f>
        <v>0</v>
      </c>
      <c r="F3" cm="1">
        <f t="array" aca="1" ref="F3" ca="1">SUMPRODUCT((MID($C$2,ROW(INDIRECT("1:"&amp;LEN($C$2))),1)&lt;&gt;MID(C3,ROW(INDIRECT("1:"&amp;LEN($C$2))),1))*1)</f>
        <v>1</v>
      </c>
      <c r="G3" s="1">
        <v>0.506382</v>
      </c>
      <c r="H3" s="1">
        <v>1.9705429999999999</v>
      </c>
      <c r="I3" s="1">
        <v>-4.2158689999999996</v>
      </c>
      <c r="J3" s="1">
        <v>-6.0165709999999999</v>
      </c>
      <c r="K3" s="1">
        <v>-7.0415400000000004</v>
      </c>
      <c r="L3" s="1">
        <v>-14.157197999999999</v>
      </c>
      <c r="M3">
        <f t="shared" ref="M3:Q15" si="0">H3-H$2</f>
        <v>2.988823</v>
      </c>
      <c r="N3">
        <f t="shared" si="0"/>
        <v>1.4608950000000007</v>
      </c>
      <c r="O3">
        <f t="shared" si="0"/>
        <v>1.0365929999999999</v>
      </c>
      <c r="P3">
        <f t="shared" si="0"/>
        <v>0.99187600000000042</v>
      </c>
      <c r="Q3">
        <f>L3-L$2</f>
        <v>1.4573860000000014</v>
      </c>
      <c r="S3" s="2">
        <v>0.4</v>
      </c>
      <c r="T3" s="22" cm="1">
        <f t="array" ref="T3">SUM( COUNTIF(D$2:D$20,S2:S3))</f>
        <v>5</v>
      </c>
      <c r="U3" s="23">
        <v>-0.35297107054576532</v>
      </c>
      <c r="V3" s="23">
        <v>-1.5449566410115041E-2</v>
      </c>
      <c r="W3" s="23">
        <v>0.19253439379180942</v>
      </c>
      <c r="X3" s="23">
        <v>0.26624114190058201</v>
      </c>
      <c r="Y3" s="23">
        <v>0.32202276233724625</v>
      </c>
      <c r="Z3" s="23"/>
      <c r="AA3" s="23">
        <f>PEARSON(AG2:AG6,AH2:AH6)</f>
        <v>0.32202276233724625</v>
      </c>
      <c r="AC3" t="s">
        <v>3</v>
      </c>
      <c r="AD3" s="1" t="s">
        <v>4</v>
      </c>
      <c r="AF3" s="1">
        <v>0.3</v>
      </c>
      <c r="AG3" s="1">
        <v>4.6888199999999998</v>
      </c>
      <c r="AH3">
        <v>7.4340200000000003</v>
      </c>
      <c r="AJ3" s="1">
        <v>0.4</v>
      </c>
      <c r="AK3" s="1">
        <v>0.506382</v>
      </c>
      <c r="AL3">
        <v>1.4573860000000014</v>
      </c>
    </row>
    <row r="4" spans="1:38" x14ac:dyDescent="0.2">
      <c r="A4" s="1">
        <v>2</v>
      </c>
      <c r="B4" t="s">
        <v>525</v>
      </c>
      <c r="C4" t="s">
        <v>528</v>
      </c>
      <c r="D4" s="1" t="s">
        <v>540</v>
      </c>
      <c r="E4" s="18" cm="1">
        <f t="array" aca="1" ref="E4" ca="1">SUMPRODUCT((MID($B$2,ROW(INDIRECT("1:"&amp;LEN($B$2))),1)&lt;&gt;MID(B4,ROW(INDIRECT("1:"&amp;LEN($B$2))),1))*1)</f>
        <v>0</v>
      </c>
      <c r="F4" cm="1">
        <f t="array" aca="1" ref="F4" ca="1">SUMPRODUCT((MID($C$2,ROW(INDIRECT("1:"&amp;LEN($C$2))),1)&lt;&gt;MID(C4,ROW(INDIRECT("1:"&amp;LEN($C$2))),1))*1)</f>
        <v>1</v>
      </c>
      <c r="G4" s="1">
        <v>1.307383</v>
      </c>
      <c r="H4" s="1">
        <v>-1.0182800000000001</v>
      </c>
      <c r="I4" s="1">
        <v>-5.6767640000000004</v>
      </c>
      <c r="J4" s="1">
        <v>-7.0531639999999998</v>
      </c>
      <c r="K4" s="1">
        <v>-8.0334160000000008</v>
      </c>
      <c r="L4" s="1">
        <v>-15.614584000000001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S4" s="2">
        <v>0.5</v>
      </c>
      <c r="T4" s="22" cm="1">
        <f t="array" ref="T4">SUM( COUNTIF(D$2:D$20,S2:S4))</f>
        <v>6</v>
      </c>
      <c r="U4" s="23">
        <v>-0.41374889673396725</v>
      </c>
      <c r="V4" s="23">
        <v>-7.436650873112105E-2</v>
      </c>
      <c r="W4" s="23">
        <v>0.22585188541765766</v>
      </c>
      <c r="X4" s="23">
        <v>0.32721061167745841</v>
      </c>
      <c r="Y4" s="23">
        <v>0.40180930961651246</v>
      </c>
      <c r="Z4" s="23"/>
      <c r="AA4" s="23">
        <f>PEARSON(AG2:AG7,AH2:AH7)</f>
        <v>0.40180930961651246</v>
      </c>
      <c r="AC4" t="s">
        <v>5</v>
      </c>
      <c r="AD4" s="1" t="s">
        <v>6</v>
      </c>
      <c r="AF4" s="1">
        <v>0.3</v>
      </c>
      <c r="AG4" s="1">
        <v>0.54697700000000005</v>
      </c>
      <c r="AH4">
        <v>5.0109260000000013</v>
      </c>
      <c r="AJ4" s="1" t="s">
        <v>540</v>
      </c>
      <c r="AK4" s="1">
        <v>1.307383</v>
      </c>
      <c r="AL4">
        <v>0</v>
      </c>
    </row>
    <row r="5" spans="1:38" x14ac:dyDescent="0.2">
      <c r="A5" s="1">
        <v>3</v>
      </c>
      <c r="B5" t="s">
        <v>525</v>
      </c>
      <c r="C5" t="s">
        <v>529</v>
      </c>
      <c r="D5" s="1">
        <v>0.5</v>
      </c>
      <c r="E5" s="18" cm="1">
        <f t="array" aca="1" ref="E5" ca="1">SUMPRODUCT((MID($B$2,ROW(INDIRECT("1:"&amp;LEN($B$2))),1)&lt;&gt;MID(B5,ROW(INDIRECT("1:"&amp;LEN($B$2))),1))*1)</f>
        <v>0</v>
      </c>
      <c r="F5" cm="1">
        <f t="array" aca="1" ref="F5" ca="1">SUMPRODUCT((MID($C$2,ROW(INDIRECT("1:"&amp;LEN($C$2))),1)&lt;&gt;MID(C5,ROW(INDIRECT("1:"&amp;LEN($C$2))),1))*1)</f>
        <v>1</v>
      </c>
      <c r="G5" s="1">
        <v>0.55532999999999999</v>
      </c>
      <c r="H5" s="1">
        <v>-0.228548</v>
      </c>
      <c r="I5" s="1">
        <v>-5.2332479999999997</v>
      </c>
      <c r="J5" s="1">
        <v>-6.8867640000000003</v>
      </c>
      <c r="K5" s="1">
        <v>-8.0089570000000005</v>
      </c>
      <c r="L5" s="1">
        <v>-15.809165</v>
      </c>
      <c r="M5">
        <f t="shared" si="0"/>
        <v>0.7897320000000001</v>
      </c>
      <c r="N5">
        <f t="shared" si="0"/>
        <v>0.44351600000000069</v>
      </c>
      <c r="O5">
        <f t="shared" si="0"/>
        <v>0.16639999999999944</v>
      </c>
      <c r="P5">
        <f t="shared" si="0"/>
        <v>2.4459000000000231E-2</v>
      </c>
      <c r="Q5">
        <f t="shared" si="0"/>
        <v>-0.19458099999999945</v>
      </c>
      <c r="S5" s="2">
        <v>0.7</v>
      </c>
      <c r="T5" s="22" cm="1">
        <f t="array" ref="T5">SUM(COUNTIF(D$2:D$20, S2:S5))</f>
        <v>9</v>
      </c>
      <c r="U5" s="23">
        <v>-0.36774213856905014</v>
      </c>
      <c r="V5" s="23">
        <v>-0.14197299205300093</v>
      </c>
      <c r="W5" s="23">
        <v>-5.11938257824123E-2</v>
      </c>
      <c r="X5" s="23">
        <v>-5.300073336535773E-3</v>
      </c>
      <c r="Y5" s="23">
        <v>2.5887046718195521E-2</v>
      </c>
      <c r="Z5" s="23"/>
      <c r="AA5" s="23">
        <f>PEARSON(AG2:AG10,AH2:AH10)</f>
        <v>2.5887046718195521E-2</v>
      </c>
      <c r="AC5" t="s">
        <v>7</v>
      </c>
      <c r="AD5" s="1" t="s">
        <v>8</v>
      </c>
      <c r="AF5" s="1">
        <v>0.3</v>
      </c>
      <c r="AG5" s="1">
        <v>2.6987220000000001</v>
      </c>
      <c r="AH5">
        <v>-0.75533000000000072</v>
      </c>
      <c r="AJ5" s="1">
        <v>0.5</v>
      </c>
      <c r="AK5" s="1">
        <v>0.55532999999999999</v>
      </c>
      <c r="AL5">
        <v>-0.19458099999999945</v>
      </c>
    </row>
    <row r="6" spans="1:38" x14ac:dyDescent="0.2">
      <c r="A6" s="1">
        <v>4</v>
      </c>
      <c r="B6" t="s">
        <v>525</v>
      </c>
      <c r="C6" t="s">
        <v>530</v>
      </c>
      <c r="D6" s="1" t="s">
        <v>540</v>
      </c>
      <c r="E6" s="18" cm="1">
        <f t="array" aca="1" ref="E6" ca="1">SUMPRODUCT((MID($B$2,ROW(INDIRECT("1:"&amp;LEN($B$2))),1)&lt;&gt;MID(B6,ROW(INDIRECT("1:"&amp;LEN($B$2))),1))*1)</f>
        <v>0</v>
      </c>
      <c r="F6" cm="1">
        <f t="array" aca="1" ref="F6" ca="1">SUMPRODUCT((MID($C$2,ROW(INDIRECT("1:"&amp;LEN($C$2))),1)&lt;&gt;MID(C6,ROW(INDIRECT("1:"&amp;LEN($C$2))),1))*1)</f>
        <v>2</v>
      </c>
      <c r="G6" s="1">
        <v>0.122618</v>
      </c>
      <c r="H6" s="1">
        <v>-0.228548</v>
      </c>
      <c r="I6" s="1">
        <v>-5.2332479999999997</v>
      </c>
      <c r="J6" s="1">
        <v>-6.8867640000000003</v>
      </c>
      <c r="K6" s="1">
        <v>-8.0089570000000005</v>
      </c>
      <c r="L6" s="1">
        <v>-15.809165</v>
      </c>
      <c r="M6">
        <f t="shared" si="0"/>
        <v>0.7897320000000001</v>
      </c>
      <c r="N6">
        <f t="shared" si="0"/>
        <v>0.44351600000000069</v>
      </c>
      <c r="O6">
        <f t="shared" si="0"/>
        <v>0.16639999999999944</v>
      </c>
      <c r="P6">
        <f t="shared" si="0"/>
        <v>2.4459000000000231E-2</v>
      </c>
      <c r="Q6">
        <f t="shared" si="0"/>
        <v>-0.19458099999999945</v>
      </c>
      <c r="S6" s="2">
        <v>0.95</v>
      </c>
      <c r="T6" s="22" cm="1">
        <f t="array" ref="T6">SUM(COUNTIF(D$2:D$20, S2:S6))</f>
        <v>11</v>
      </c>
      <c r="U6" s="23">
        <v>-0.37853125692256961</v>
      </c>
      <c r="V6" s="23">
        <v>-0.15124898030624934</v>
      </c>
      <c r="W6" s="23">
        <v>4.3235650908241977E-3</v>
      </c>
      <c r="X6" s="23">
        <v>6.2004135970699668E-2</v>
      </c>
      <c r="Y6" s="23">
        <v>9.9312524630447888E-2</v>
      </c>
      <c r="Z6" s="23"/>
      <c r="AA6" s="23">
        <f>PEARSON(AG2:AG12,AH2:AH12)</f>
        <v>9.9312524630447888E-2</v>
      </c>
      <c r="AC6" t="s">
        <v>9</v>
      </c>
      <c r="AD6" s="1" t="s">
        <v>10</v>
      </c>
      <c r="AF6" s="1">
        <v>0.4</v>
      </c>
      <c r="AG6" s="1">
        <v>0.506382</v>
      </c>
      <c r="AH6">
        <v>1.4573860000000014</v>
      </c>
      <c r="AJ6" s="1" t="s">
        <v>540</v>
      </c>
      <c r="AK6" s="1">
        <v>0.122618</v>
      </c>
      <c r="AL6">
        <v>-0.19458099999999945</v>
      </c>
    </row>
    <row r="7" spans="1:38" x14ac:dyDescent="0.2">
      <c r="A7" s="1">
        <v>5</v>
      </c>
      <c r="B7" t="s">
        <v>525</v>
      </c>
      <c r="C7" t="s">
        <v>531</v>
      </c>
      <c r="D7" s="1">
        <v>0.95</v>
      </c>
      <c r="E7" s="18" cm="1">
        <f t="array" aca="1" ref="E7" ca="1">SUMPRODUCT((MID($B$2,ROW(INDIRECT("1:"&amp;LEN($B$2))),1)&lt;&gt;MID(B7,ROW(INDIRECT("1:"&amp;LEN($B$2))),1))*1)</f>
        <v>0</v>
      </c>
      <c r="F7" cm="1">
        <f t="array" aca="1" ref="F7" ca="1">SUMPRODUCT((MID($C$2,ROW(INDIRECT("1:"&amp;LEN($C$2))),1)&lt;&gt;MID(C7,ROW(INDIRECT("1:"&amp;LEN($C$2))),1))*1)</f>
        <v>1</v>
      </c>
      <c r="G7" s="1">
        <v>0.122618</v>
      </c>
      <c r="H7" s="1">
        <v>-0.94747599999999998</v>
      </c>
      <c r="I7" s="1">
        <v>-5.6117460000000001</v>
      </c>
      <c r="J7" s="1">
        <v>-7.0120959999999997</v>
      </c>
      <c r="K7" s="1">
        <v>-7.9906759999999997</v>
      </c>
      <c r="L7" s="1">
        <v>-15.550374</v>
      </c>
      <c r="M7">
        <f t="shared" si="0"/>
        <v>7.0804000000000089E-2</v>
      </c>
      <c r="N7">
        <f t="shared" si="0"/>
        <v>6.5018000000000242E-2</v>
      </c>
      <c r="O7">
        <f t="shared" si="0"/>
        <v>4.1068000000000104E-2</v>
      </c>
      <c r="P7">
        <f t="shared" si="0"/>
        <v>4.274000000000111E-2</v>
      </c>
      <c r="Q7">
        <f t="shared" si="0"/>
        <v>6.4210000000000989E-2</v>
      </c>
      <c r="AC7" t="s">
        <v>11</v>
      </c>
      <c r="AD7" s="1" t="s">
        <v>12</v>
      </c>
      <c r="AF7" s="1">
        <v>0.5</v>
      </c>
      <c r="AG7" s="1">
        <v>0.55532999999999999</v>
      </c>
      <c r="AH7">
        <v>-0.19458099999999945</v>
      </c>
      <c r="AJ7" s="1">
        <v>0.95</v>
      </c>
      <c r="AK7" s="1">
        <v>0.122618</v>
      </c>
      <c r="AL7">
        <v>6.4210000000000989E-2</v>
      </c>
    </row>
    <row r="8" spans="1:38" x14ac:dyDescent="0.2">
      <c r="A8" s="1">
        <v>6</v>
      </c>
      <c r="B8" t="s">
        <v>525</v>
      </c>
      <c r="C8" t="s">
        <v>532</v>
      </c>
      <c r="D8" s="1">
        <v>0.95</v>
      </c>
      <c r="E8" s="18" cm="1">
        <f t="array" aca="1" ref="E8" ca="1">SUMPRODUCT((MID($B$2,ROW(INDIRECT("1:"&amp;LEN($B$2))),1)&lt;&gt;MID(B8,ROW(INDIRECT("1:"&amp;LEN($B$2))),1))*1)</f>
        <v>0</v>
      </c>
      <c r="F8" cm="1">
        <f t="array" aca="1" ref="F8" ca="1">SUMPRODUCT((MID($C$2,ROW(INDIRECT("1:"&amp;LEN($C$2))),1)&lt;&gt;MID(C8,ROW(INDIRECT("1:"&amp;LEN($C$2))),1))*1)</f>
        <v>1</v>
      </c>
      <c r="G8" s="1">
        <v>1.3850290000000001</v>
      </c>
      <c r="H8" s="1">
        <v>-0.91673300000000002</v>
      </c>
      <c r="I8" s="1">
        <v>-5.55246</v>
      </c>
      <c r="J8" s="1">
        <v>-6.9561310000000001</v>
      </c>
      <c r="K8" s="1">
        <v>-7.9424080000000004</v>
      </c>
      <c r="L8" s="1">
        <v>-15.487392</v>
      </c>
      <c r="M8">
        <f t="shared" si="0"/>
        <v>0.10154700000000005</v>
      </c>
      <c r="N8">
        <f t="shared" si="0"/>
        <v>0.12430400000000041</v>
      </c>
      <c r="O8">
        <f t="shared" si="0"/>
        <v>9.7032999999999703E-2</v>
      </c>
      <c r="P8">
        <f t="shared" si="0"/>
        <v>9.1008000000000422E-2</v>
      </c>
      <c r="Q8">
        <f t="shared" si="0"/>
        <v>0.12719200000000086</v>
      </c>
      <c r="AC8" t="s">
        <v>13</v>
      </c>
      <c r="AD8" s="1">
        <v>25</v>
      </c>
      <c r="AF8" s="1">
        <v>0.7</v>
      </c>
      <c r="AG8" s="1">
        <v>1.6663809999999999</v>
      </c>
      <c r="AH8">
        <v>5.1125000000000753E-2</v>
      </c>
      <c r="AJ8" s="1">
        <v>0.95</v>
      </c>
      <c r="AK8" s="1">
        <v>1.3850290000000001</v>
      </c>
      <c r="AL8">
        <v>0.12719200000000086</v>
      </c>
    </row>
    <row r="9" spans="1:38" x14ac:dyDescent="0.2">
      <c r="A9" s="1">
        <v>7</v>
      </c>
      <c r="B9" t="s">
        <v>525</v>
      </c>
      <c r="C9" t="s">
        <v>533</v>
      </c>
      <c r="D9" s="1">
        <v>0.3</v>
      </c>
      <c r="E9" s="18" cm="1">
        <f t="array" aca="1" ref="E9" ca="1">SUMPRODUCT((MID($B$2,ROW(INDIRECT("1:"&amp;LEN($B$2))),1)&lt;&gt;MID(B9,ROW(INDIRECT("1:"&amp;LEN($B$2))),1))*1)</f>
        <v>0</v>
      </c>
      <c r="F9" cm="1">
        <f t="array" aca="1" ref="F9" ca="1">SUMPRODUCT((MID($C$2,ROW(INDIRECT("1:"&amp;LEN($C$2))),1)&lt;&gt;MID(C9,ROW(INDIRECT("1:"&amp;LEN($C$2))),1))*1)</f>
        <v>1</v>
      </c>
      <c r="G9" s="1">
        <v>2.2107060000000001</v>
      </c>
      <c r="H9" s="1">
        <v>-5.1575959999999998</v>
      </c>
      <c r="I9" s="1">
        <v>-8.7874320000000008</v>
      </c>
      <c r="J9" s="1">
        <v>-8.7116100000000003</v>
      </c>
      <c r="K9" s="1">
        <v>-9.2193839999999998</v>
      </c>
      <c r="L9" s="1">
        <v>-16.552678</v>
      </c>
      <c r="M9">
        <f t="shared" si="0"/>
        <v>-4.139316</v>
      </c>
      <c r="N9">
        <f t="shared" si="0"/>
        <v>-3.1106680000000004</v>
      </c>
      <c r="O9">
        <f t="shared" si="0"/>
        <v>-1.6584460000000005</v>
      </c>
      <c r="P9">
        <f t="shared" si="0"/>
        <v>-1.185967999999999</v>
      </c>
      <c r="Q9">
        <f t="shared" si="0"/>
        <v>-0.93809399999999954</v>
      </c>
      <c r="AF9" s="1">
        <v>0.7</v>
      </c>
      <c r="AG9" s="1">
        <v>4.5622829999999999</v>
      </c>
      <c r="AH9">
        <v>-0.77317099999999783</v>
      </c>
      <c r="AJ9" s="1">
        <v>0.3</v>
      </c>
      <c r="AK9" s="1">
        <v>2.2107060000000001</v>
      </c>
      <c r="AL9">
        <v>-0.93809399999999954</v>
      </c>
    </row>
    <row r="10" spans="1:38" x14ac:dyDescent="0.2">
      <c r="A10" s="1">
        <v>8</v>
      </c>
      <c r="B10" t="s">
        <v>525</v>
      </c>
      <c r="C10" t="s">
        <v>534</v>
      </c>
      <c r="D10" s="1">
        <v>0.3</v>
      </c>
      <c r="E10" s="18" cm="1">
        <f t="array" aca="1" ref="E10" ca="1">SUMPRODUCT((MID($B$2,ROW(INDIRECT("1:"&amp;LEN($B$2))),1)&lt;&gt;MID(B10,ROW(INDIRECT("1:"&amp;LEN($B$2))),1))*1)</f>
        <v>0</v>
      </c>
      <c r="F10" cm="1">
        <f t="array" aca="1" ref="F10" ca="1">SUMPRODUCT((MID($C$2,ROW(INDIRECT("1:"&amp;LEN($C$2))),1)&lt;&gt;MID(C10,ROW(INDIRECT("1:"&amp;LEN($C$2))),1))*1)</f>
        <v>1</v>
      </c>
      <c r="G10" s="1">
        <v>4.6888199999999998</v>
      </c>
      <c r="H10" s="1">
        <v>-0.92124899999999998</v>
      </c>
      <c r="I10" s="1">
        <v>-3.5641829999999999</v>
      </c>
      <c r="J10" s="1">
        <v>-3.3607710000000002</v>
      </c>
      <c r="K10" s="1">
        <v>-3.7452779999999999</v>
      </c>
      <c r="L10" s="1">
        <v>-8.1805640000000004</v>
      </c>
      <c r="M10">
        <f t="shared" si="0"/>
        <v>9.7031000000000089E-2</v>
      </c>
      <c r="N10">
        <f t="shared" si="0"/>
        <v>2.1125810000000005</v>
      </c>
      <c r="O10">
        <f t="shared" si="0"/>
        <v>3.6923929999999996</v>
      </c>
      <c r="P10">
        <f t="shared" si="0"/>
        <v>4.2881380000000009</v>
      </c>
      <c r="Q10">
        <f t="shared" si="0"/>
        <v>7.4340200000000003</v>
      </c>
      <c r="AF10" s="17">
        <v>0.7</v>
      </c>
      <c r="AG10" s="1">
        <v>0.65215000000000001</v>
      </c>
      <c r="AH10">
        <v>5.0620510000000003</v>
      </c>
      <c r="AJ10" s="1">
        <v>0.3</v>
      </c>
      <c r="AK10" s="1">
        <v>4.6888199999999998</v>
      </c>
      <c r="AL10">
        <v>7.4340200000000003</v>
      </c>
    </row>
    <row r="11" spans="1:38" x14ac:dyDescent="0.2">
      <c r="A11" s="1">
        <v>9</v>
      </c>
      <c r="B11" t="s">
        <v>525</v>
      </c>
      <c r="C11" t="s">
        <v>535</v>
      </c>
      <c r="D11" s="1">
        <v>0.3</v>
      </c>
      <c r="E11" s="18" cm="1">
        <f t="array" aca="1" ref="E11" ca="1">SUMPRODUCT((MID($B$2,ROW(INDIRECT("1:"&amp;LEN($B$2))),1)&lt;&gt;MID(B11,ROW(INDIRECT("1:"&amp;LEN($B$2))),1))*1)</f>
        <v>0</v>
      </c>
      <c r="F11" cm="1">
        <f t="array" aca="1" ref="F11" ca="1">SUMPRODUCT((MID($C$2,ROW(INDIRECT("1:"&amp;LEN($C$2))),1)&lt;&gt;MID(C11,ROW(INDIRECT("1:"&amp;LEN($C$2))),1))*1)</f>
        <v>1</v>
      </c>
      <c r="G11" s="1">
        <v>0.54697700000000005</v>
      </c>
      <c r="H11" s="1">
        <v>-0.82819500000000001</v>
      </c>
      <c r="I11" s="1">
        <v>-5.0093220000000001</v>
      </c>
      <c r="J11" s="1">
        <v>-4.662528</v>
      </c>
      <c r="K11" s="1">
        <v>-5.1892079999999998</v>
      </c>
      <c r="L11" s="1">
        <v>-10.603657999999999</v>
      </c>
      <c r="M11">
        <f t="shared" si="0"/>
        <v>0.19008500000000006</v>
      </c>
      <c r="N11">
        <f t="shared" si="0"/>
        <v>0.66744200000000031</v>
      </c>
      <c r="O11">
        <f t="shared" si="0"/>
        <v>2.3906359999999998</v>
      </c>
      <c r="P11">
        <f t="shared" si="0"/>
        <v>2.844208000000001</v>
      </c>
      <c r="Q11">
        <f t="shared" si="0"/>
        <v>5.0109260000000013</v>
      </c>
      <c r="AF11" s="1">
        <v>0.95</v>
      </c>
      <c r="AG11" s="1">
        <v>0.122618</v>
      </c>
      <c r="AH11">
        <v>6.4210000000000989E-2</v>
      </c>
      <c r="AJ11" s="1">
        <v>0.3</v>
      </c>
      <c r="AK11" s="1">
        <v>0.54697700000000005</v>
      </c>
      <c r="AL11">
        <v>5.0109260000000013</v>
      </c>
    </row>
    <row r="12" spans="1:38" x14ac:dyDescent="0.2">
      <c r="A12" s="1">
        <v>10</v>
      </c>
      <c r="B12" t="s">
        <v>525</v>
      </c>
      <c r="C12" t="s">
        <v>536</v>
      </c>
      <c r="D12" s="1">
        <v>0.3</v>
      </c>
      <c r="E12" s="18" cm="1">
        <f t="array" aca="1" ref="E12" ca="1">SUMPRODUCT((MID($B$2,ROW(INDIRECT("1:"&amp;LEN($B$2))),1)&lt;&gt;MID(B12,ROW(INDIRECT("1:"&amp;LEN($B$2))),1))*1)</f>
        <v>0</v>
      </c>
      <c r="F12" cm="1">
        <f t="array" aca="1" ref="F12" ca="1">SUMPRODUCT((MID($C$2,ROW(INDIRECT("1:"&amp;LEN($C$2))),1)&lt;&gt;MID(C12,ROW(INDIRECT("1:"&amp;LEN($C$2))),1))*1)</f>
        <v>1</v>
      </c>
      <c r="G12" s="1">
        <v>2.6987220000000001</v>
      </c>
      <c r="H12" s="1">
        <v>-5.5032930000000002</v>
      </c>
      <c r="I12" s="1">
        <v>-9.2121680000000001</v>
      </c>
      <c r="J12" s="1">
        <v>-8.3739699999999999</v>
      </c>
      <c r="K12" s="1">
        <v>-8.8130469999999992</v>
      </c>
      <c r="L12" s="1">
        <v>-16.369914000000001</v>
      </c>
      <c r="M12">
        <f t="shared" si="0"/>
        <v>-4.4850130000000004</v>
      </c>
      <c r="N12">
        <f t="shared" si="0"/>
        <v>-3.5354039999999998</v>
      </c>
      <c r="O12">
        <f t="shared" si="0"/>
        <v>-1.3208060000000001</v>
      </c>
      <c r="P12">
        <f t="shared" si="0"/>
        <v>-0.77963099999999841</v>
      </c>
      <c r="Q12">
        <f t="shared" si="0"/>
        <v>-0.75533000000000072</v>
      </c>
      <c r="AF12" s="1">
        <v>0.95</v>
      </c>
      <c r="AG12" s="1">
        <v>1.3850290000000001</v>
      </c>
      <c r="AH12">
        <v>0.12719200000000086</v>
      </c>
      <c r="AJ12" s="1">
        <v>0.3</v>
      </c>
      <c r="AK12" s="1">
        <v>2.6987220000000001</v>
      </c>
      <c r="AL12">
        <v>-0.75533000000000072</v>
      </c>
    </row>
    <row r="13" spans="1:38" x14ac:dyDescent="0.2">
      <c r="A13" s="1">
        <v>11</v>
      </c>
      <c r="B13" t="s">
        <v>525</v>
      </c>
      <c r="C13" t="s">
        <v>537</v>
      </c>
      <c r="D13" s="1">
        <v>0.7</v>
      </c>
      <c r="E13" s="18" cm="1">
        <f t="array" aca="1" ref="E13" ca="1">SUMPRODUCT((MID($B$2,ROW(INDIRECT("1:"&amp;LEN($B$2))),1)&lt;&gt;MID(B13,ROW(INDIRECT("1:"&amp;LEN($B$2))),1))*1)</f>
        <v>0</v>
      </c>
      <c r="F13" cm="1">
        <f t="array" aca="1" ref="F13" ca="1">SUMPRODUCT((MID($C$2,ROW(INDIRECT("1:"&amp;LEN($C$2))),1)&lt;&gt;MID(C13,ROW(INDIRECT("1:"&amp;LEN($C$2))),1))*1)</f>
        <v>1</v>
      </c>
      <c r="G13" s="1">
        <v>1.6663809999999999</v>
      </c>
      <c r="H13" s="1">
        <v>-0.99431499999999995</v>
      </c>
      <c r="I13" s="1">
        <v>-5.579491</v>
      </c>
      <c r="J13" s="1">
        <v>-6.9251519999999998</v>
      </c>
      <c r="K13" s="1">
        <v>-7.9245599999999996</v>
      </c>
      <c r="L13" s="1">
        <v>-15.563459</v>
      </c>
      <c r="M13">
        <f t="shared" si="0"/>
        <v>2.3965000000000125E-2</v>
      </c>
      <c r="N13">
        <f t="shared" si="0"/>
        <v>9.7273000000000387E-2</v>
      </c>
      <c r="O13">
        <f t="shared" si="0"/>
        <v>0.12801200000000001</v>
      </c>
      <c r="P13">
        <f t="shared" si="0"/>
        <v>0.10885600000000117</v>
      </c>
      <c r="Q13">
        <f t="shared" si="0"/>
        <v>5.1125000000000753E-2</v>
      </c>
      <c r="AF13" s="1" t="s">
        <v>540</v>
      </c>
      <c r="AG13" s="1">
        <v>1.307383</v>
      </c>
      <c r="AH13">
        <v>0</v>
      </c>
      <c r="AJ13" s="1">
        <v>0.7</v>
      </c>
      <c r="AK13" s="1">
        <v>1.6663809999999999</v>
      </c>
      <c r="AL13">
        <v>5.1125000000000753E-2</v>
      </c>
    </row>
    <row r="14" spans="1:38" x14ac:dyDescent="0.2">
      <c r="A14" s="1">
        <v>12</v>
      </c>
      <c r="B14" t="s">
        <v>525</v>
      </c>
      <c r="C14" t="s">
        <v>538</v>
      </c>
      <c r="D14" s="1">
        <v>0.7</v>
      </c>
      <c r="E14" s="18" cm="1">
        <f t="array" aca="1" ref="E14" ca="1">SUMPRODUCT((MID($B$2,ROW(INDIRECT("1:"&amp;LEN($B$2))),1)&lt;&gt;MID(B14,ROW(INDIRECT("1:"&amp;LEN($B$2))),1))*1)</f>
        <v>0</v>
      </c>
      <c r="F14" cm="1">
        <f t="array" aca="1" ref="F14" ca="1">SUMPRODUCT((MID($C$2,ROW(INDIRECT("1:"&amp;LEN($C$2))),1)&lt;&gt;MID(C14,ROW(INDIRECT("1:"&amp;LEN($C$2))),1))*1)</f>
        <v>1</v>
      </c>
      <c r="G14" s="1">
        <v>4.5622829999999999</v>
      </c>
      <c r="H14" s="1">
        <v>-1.7293240000000001</v>
      </c>
      <c r="I14" s="1">
        <v>-6.2307240000000004</v>
      </c>
      <c r="J14" s="1">
        <v>-7.5040069999999996</v>
      </c>
      <c r="K14" s="1">
        <v>-8.4709769999999995</v>
      </c>
      <c r="L14" s="1">
        <v>-16.387754999999999</v>
      </c>
      <c r="M14">
        <f t="shared" si="0"/>
        <v>-0.71104400000000001</v>
      </c>
      <c r="N14">
        <f t="shared" si="0"/>
        <v>-0.55396000000000001</v>
      </c>
      <c r="O14">
        <f t="shared" si="0"/>
        <v>-0.45084299999999988</v>
      </c>
      <c r="P14">
        <f t="shared" si="0"/>
        <v>-0.43756099999999876</v>
      </c>
      <c r="Q14">
        <f t="shared" si="0"/>
        <v>-0.77317099999999783</v>
      </c>
      <c r="AF14" s="1" t="s">
        <v>540</v>
      </c>
      <c r="AG14" s="1">
        <v>0.122618</v>
      </c>
      <c r="AH14">
        <v>-0.19458099999999945</v>
      </c>
      <c r="AJ14" s="1">
        <v>0.7</v>
      </c>
      <c r="AK14" s="1">
        <v>4.5622829999999999</v>
      </c>
      <c r="AL14">
        <v>-0.77317099999999783</v>
      </c>
    </row>
    <row r="15" spans="1:38" x14ac:dyDescent="0.2">
      <c r="A15" s="1">
        <v>13</v>
      </c>
      <c r="B15" t="s">
        <v>525</v>
      </c>
      <c r="C15" t="s">
        <v>539</v>
      </c>
      <c r="D15" s="1">
        <v>0.7</v>
      </c>
      <c r="E15" s="18" cm="1">
        <f t="array" aca="1" ref="E15" ca="1">SUMPRODUCT((MID($B$2,ROW(INDIRECT("1:"&amp;LEN($B$2))),1)&lt;&gt;MID(B15,ROW(INDIRECT("1:"&amp;LEN($B$2))),1))*1)</f>
        <v>0</v>
      </c>
      <c r="F15" cm="1">
        <f t="array" aca="1" ref="F15" ca="1">SUMPRODUCT((MID($C$2,ROW(INDIRECT("1:"&amp;LEN($C$2))),1)&lt;&gt;MID(C15,ROW(INDIRECT("1:"&amp;LEN($C$2))),1))*1)</f>
        <v>2</v>
      </c>
      <c r="G15" s="1">
        <v>0.65215000000000001</v>
      </c>
      <c r="H15" s="1">
        <v>-0.80423100000000003</v>
      </c>
      <c r="I15" s="1">
        <v>-4.9120499999999998</v>
      </c>
      <c r="J15" s="1">
        <v>-4.534516</v>
      </c>
      <c r="K15" s="1">
        <v>-5.0803510000000003</v>
      </c>
      <c r="L15" s="1">
        <v>-10.552533</v>
      </c>
      <c r="M15">
        <f t="shared" si="0"/>
        <v>0.21404900000000004</v>
      </c>
      <c r="N15">
        <f t="shared" si="0"/>
        <v>0.76471400000000056</v>
      </c>
      <c r="O15">
        <f t="shared" si="0"/>
        <v>2.5186479999999998</v>
      </c>
      <c r="P15">
        <f t="shared" si="0"/>
        <v>2.9530650000000005</v>
      </c>
      <c r="Q15">
        <f t="shared" si="0"/>
        <v>5.0620510000000003</v>
      </c>
      <c r="AF15" s="1" t="s">
        <v>477</v>
      </c>
      <c r="AG15" s="1">
        <v>0</v>
      </c>
      <c r="AH15">
        <v>0</v>
      </c>
      <c r="AJ15" s="1">
        <v>0.7</v>
      </c>
      <c r="AK15" s="1">
        <v>0.65215000000000001</v>
      </c>
      <c r="AL15">
        <v>5.0620510000000003</v>
      </c>
    </row>
    <row r="16" spans="1:38" x14ac:dyDescent="0.2">
      <c r="I16" s="1"/>
      <c r="J16" s="1"/>
    </row>
  </sheetData>
  <sortState xmlns:xlrd2="http://schemas.microsoft.com/office/spreadsheetml/2017/richdata2" ref="AF2:AH20">
    <sortCondition ref="AF1:AF20"/>
  </sortState>
  <mergeCells count="1">
    <mergeCell ref="AC1:AD1"/>
  </mergeCells>
  <conditionalFormatting sqref="AA2:AA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V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:X6 Z2:Z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W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X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MS2-2C4Q</vt:lpstr>
      <vt:lpstr>U1A-1URN</vt:lpstr>
      <vt:lpstr>FOX1-2ERR</vt:lpstr>
      <vt:lpstr>PUM1-IM8W</vt:lpstr>
      <vt:lpstr>SRP-1HQ1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2025-12-11T23:25:04Z</dcterms:created>
  <dcterms:modified xsi:type="dcterms:W3CDTF">2025-12-12T20:22:04Z</dcterms:modified>
</cp:coreProperties>
</file>