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duardo/rna_protein_project/Protein_RNA_Optimization-main/2nd_attempt/"/>
    </mc:Choice>
  </mc:AlternateContent>
  <xr:revisionPtr revIDLastSave="0" documentId="13_ncr:1_{70D3E324-8C2B-6B40-A65E-0F555E5570D4}" xr6:coauthVersionLast="47" xr6:coauthVersionMax="47" xr10:uidLastSave="{00000000-0000-0000-0000-000000000000}"/>
  <bookViews>
    <workbookView xWindow="0" yWindow="760" windowWidth="30240" windowHeight="16860" xr2:uid="{87D89EA5-A593-3E4C-8982-81C126836FB8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30" i="1"/>
  <c r="D2" i="1"/>
</calcChain>
</file>

<file path=xl/sharedStrings.xml><?xml version="1.0" encoding="utf-8"?>
<sst xmlns="http://schemas.openxmlformats.org/spreadsheetml/2006/main" count="113" uniqueCount="65">
  <si>
    <t>2b2e</t>
  </si>
  <si>
    <t>1zdj</t>
  </si>
  <si>
    <t>1zdh</t>
  </si>
  <si>
    <t>1zse</t>
  </si>
  <si>
    <t>1aq4</t>
  </si>
  <si>
    <t>1u1y</t>
  </si>
  <si>
    <t>2bny</t>
  </si>
  <si>
    <t>2c4q</t>
  </si>
  <si>
    <t>1zdi</t>
  </si>
  <si>
    <t>2iz9</t>
  </si>
  <si>
    <t>2bs0</t>
  </si>
  <si>
    <t>2c4y</t>
  </si>
  <si>
    <t>1zdk</t>
  </si>
  <si>
    <t>2b2d</t>
  </si>
  <si>
    <t>2c4z</t>
  </si>
  <si>
    <t>2izm</t>
  </si>
  <si>
    <t>2izn</t>
  </si>
  <si>
    <t>2bs1</t>
  </si>
  <si>
    <t>7msf</t>
  </si>
  <si>
    <t>2b2g</t>
  </si>
  <si>
    <t>5tc1</t>
  </si>
  <si>
    <t>2c51</t>
  </si>
  <si>
    <t>2c50</t>
  </si>
  <si>
    <t>2bq5</t>
  </si>
  <si>
    <t>5msf</t>
  </si>
  <si>
    <t>6msf</t>
  </si>
  <si>
    <t>2iz8</t>
  </si>
  <si>
    <t>2bu1</t>
  </si>
  <si>
    <t>ASNFTQFVLVDNGGTGDVTVAPSNFANGVAEWISSNSRSQAYKVTCSVRQSSAQNRKYTIKVEVPKVATQTVGGVELPVAAWRSYLNMELTIPIFATNSDCELIVKAMQGLLKDGNPIPSAIAANSGIY</t>
  </si>
  <si>
    <t>ACAUGAGGAUUACCCAUGU</t>
  </si>
  <si>
    <t>RNA-Protein Complex</t>
  </si>
  <si>
    <t>Protein Sequence</t>
  </si>
  <si>
    <t>RNA Sequence</t>
  </si>
  <si>
    <t>GGAUCACC</t>
  </si>
  <si>
    <r>
      <t>ASNFTQFVLVDNGGTGDVTVAPSNFANGVAEWISSNSRSQAYKVTCSVRQSSAQNRKYTIKVEVPKVATQTVGGVELPVAAWRSYL</t>
    </r>
    <r>
      <rPr>
        <b/>
        <sz val="13"/>
        <color rgb="FFFF0000"/>
        <rFont val="Courier"/>
      </rPr>
      <t>S</t>
    </r>
    <r>
      <rPr>
        <sz val="13"/>
        <color theme="1"/>
        <rFont val="Courier"/>
      </rPr>
      <t>M</t>
    </r>
    <r>
      <rPr>
        <b/>
        <sz val="13"/>
        <color rgb="FFFF0000"/>
        <rFont val="Courier"/>
      </rPr>
      <t>K</t>
    </r>
    <r>
      <rPr>
        <sz val="13"/>
        <color theme="1"/>
        <rFont val="Courier"/>
      </rPr>
      <t>LTIPIFATNSDCELIVKAMQGLLKDGNPIPSAIAANSGIY</t>
    </r>
  </si>
  <si>
    <t>AUGCAUGUCUAAGACAGCAU</t>
  </si>
  <si>
    <t>CCGGGGGAUCACCACGG</t>
  </si>
  <si>
    <t>AUGCAUGUCUAAGACUGCAU</t>
  </si>
  <si>
    <t>UCGCCAACAGGCGG</t>
  </si>
  <si>
    <t>CCGGAGGAUCACCACGGG</t>
  </si>
  <si>
    <t>CCACAGUCACUGGG</t>
  </si>
  <si>
    <t>CAGUCACUGG</t>
  </si>
  <si>
    <r>
      <t>ASNFTQFVLVDNGGTGDVTVAPSNFANGVAEWISSNSRSQAYKVTCSVRQSSAQNRKYTIKVEVPKVATQTVGGVELPVAAWRSYL</t>
    </r>
    <r>
      <rPr>
        <b/>
        <sz val="13"/>
        <color rgb="FFFF0000"/>
        <rFont val="Courier"/>
      </rPr>
      <t>S</t>
    </r>
    <r>
      <rPr>
        <sz val="13"/>
        <color theme="1"/>
        <rFont val="Courier"/>
      </rPr>
      <t>MELTIPIFATNSDCELIVKAMQGLLKDGNPIPSAIAANSGIY</t>
    </r>
  </si>
  <si>
    <r>
      <t>ASNFTQFVLVDNGGTGDVTVAPSNFANGVAEWISSNSRSQAYKV</t>
    </r>
    <r>
      <rPr>
        <b/>
        <sz val="13"/>
        <color rgb="FFFF0000"/>
        <rFont val="Courier"/>
      </rPr>
      <t>A</t>
    </r>
    <r>
      <rPr>
        <sz val="13"/>
        <color theme="1"/>
        <rFont val="Courier"/>
      </rPr>
      <t>CSVRQSSAQNRKYTIKVEVPKVATQTVGGVELPVAAWRSYLNMELTIPIFATNSDCELIVKAMQGLLKDGNPIPSAIAANSGIY</t>
    </r>
  </si>
  <si>
    <r>
      <t>ASNFTQFVLVDNGGTGDVTVAPSNFANGVAEWISSNSRSQAYKVTCSVRQSSAQNRKYTIKVEVPKVATQTVGGVELPVAAWRSYL</t>
    </r>
    <r>
      <rPr>
        <b/>
        <sz val="13"/>
        <color rgb="FFFF0000"/>
        <rFont val="Courier"/>
      </rPr>
      <t>A</t>
    </r>
    <r>
      <rPr>
        <sz val="13"/>
        <color theme="1"/>
        <rFont val="Courier"/>
      </rPr>
      <t>MELTIPIFATNSDCELIVKAMQGLLKDGNPIPSAIAANSGIY</t>
    </r>
  </si>
  <si>
    <r>
      <t>ASNFTQFVLVDNGGTGDVTVAPSNFANGVAEWISSNSRSQAYKVTCSVRQSSAQNRKYTIKVEVPKVATQTVGGVELPVAAWRSYL</t>
    </r>
    <r>
      <rPr>
        <b/>
        <sz val="13"/>
        <color rgb="FFFF0000"/>
        <rFont val="Courier"/>
      </rPr>
      <t>A</t>
    </r>
    <r>
      <rPr>
        <sz val="13"/>
        <color theme="1"/>
        <rFont val="Courier"/>
      </rPr>
      <t>M</t>
    </r>
    <r>
      <rPr>
        <b/>
        <sz val="13"/>
        <color rgb="FFFF0000"/>
        <rFont val="Courier"/>
      </rPr>
      <t>K</t>
    </r>
    <r>
      <rPr>
        <sz val="13"/>
        <color theme="1"/>
        <rFont val="Courier"/>
      </rPr>
      <t>LTIPIFATNSDCELIVKAMQGLLKDGNPIPSAIAANSGIY</t>
    </r>
  </si>
  <si>
    <r>
      <rPr>
        <b/>
        <sz val="13"/>
        <color rgb="FFFF0000"/>
        <rFont val="Courier"/>
      </rPr>
      <t>M</t>
    </r>
    <r>
      <rPr>
        <sz val="13"/>
        <color theme="1"/>
        <rFont val="Courier"/>
      </rPr>
      <t>ASNFTQFVLVDNGGTGDVTVAPSNFANGVAEWISSNSRSQAYKVTCSVRQSSAQNRKYTIKVEVPKVATQTVGGVELPVAAWRSYLNMELTIPIFATNSDCELIVKAMQGLLKDGNPIPSAIAANSGIY</t>
    </r>
  </si>
  <si>
    <r>
      <t>ACAUGAGGAU</t>
    </r>
    <r>
      <rPr>
        <b/>
        <sz val="13"/>
        <color rgb="FFFF0000"/>
        <rFont val="Courier"/>
      </rPr>
      <t>C</t>
    </r>
    <r>
      <rPr>
        <sz val="13"/>
        <color theme="1"/>
        <rFont val="Courier"/>
      </rPr>
      <t>ACCCAUGU</t>
    </r>
  </si>
  <si>
    <r>
      <t>ACAUGCGGAU</t>
    </r>
    <r>
      <rPr>
        <b/>
        <sz val="13"/>
        <color rgb="FFFF0000"/>
        <rFont val="Courier"/>
      </rPr>
      <t>C</t>
    </r>
    <r>
      <rPr>
        <sz val="13"/>
        <color theme="1"/>
        <rFont val="Courier"/>
      </rPr>
      <t>ACCCAUGU</t>
    </r>
  </si>
  <si>
    <r>
      <t>ACAU</t>
    </r>
    <r>
      <rPr>
        <b/>
        <sz val="13"/>
        <color rgb="FFFF0000"/>
        <rFont val="Courier"/>
      </rPr>
      <t>CGC</t>
    </r>
    <r>
      <rPr>
        <sz val="13"/>
        <color theme="1"/>
        <rFont val="Courier"/>
      </rPr>
      <t>GAUUAC</t>
    </r>
    <r>
      <rPr>
        <b/>
        <sz val="13"/>
        <color rgb="FFFF0000"/>
        <rFont val="Courier"/>
      </rPr>
      <t>GG</t>
    </r>
    <r>
      <rPr>
        <sz val="13"/>
        <color theme="1"/>
        <rFont val="Courier"/>
      </rPr>
      <t>AUGU</t>
    </r>
  </si>
  <si>
    <r>
      <t>ACAUGAGGAU</t>
    </r>
    <r>
      <rPr>
        <b/>
        <sz val="13"/>
        <color rgb="FFFF0000"/>
        <rFont val="Courier"/>
      </rPr>
      <t>G</t>
    </r>
    <r>
      <rPr>
        <sz val="13"/>
        <color theme="1"/>
        <rFont val="Courier"/>
      </rPr>
      <t>ACCCAUGU</t>
    </r>
  </si>
  <si>
    <r>
      <t>ACAUGAGGAU</t>
    </r>
    <r>
      <rPr>
        <b/>
        <sz val="13"/>
        <color rgb="FFFF0000"/>
        <rFont val="Courier"/>
      </rPr>
      <t>A</t>
    </r>
    <r>
      <rPr>
        <sz val="13"/>
        <color theme="1"/>
        <rFont val="Courier"/>
      </rPr>
      <t>ACCCAUGU</t>
    </r>
  </si>
  <si>
    <r>
      <t>ACAUGAGG</t>
    </r>
    <r>
      <rPr>
        <b/>
        <sz val="13"/>
        <color rgb="FFFF0000"/>
        <rFont val="Courier"/>
      </rPr>
      <t>C</t>
    </r>
    <r>
      <rPr>
        <sz val="13"/>
        <color theme="1"/>
        <rFont val="Courier"/>
      </rPr>
      <t>U</t>
    </r>
    <r>
      <rPr>
        <b/>
        <sz val="13"/>
        <color rgb="FFFF0000"/>
        <rFont val="Courier"/>
      </rPr>
      <t>C</t>
    </r>
    <r>
      <rPr>
        <sz val="13"/>
        <color theme="1"/>
        <rFont val="Courier"/>
      </rPr>
      <t>ACCCAUGU</t>
    </r>
  </si>
  <si>
    <t>2BU1</t>
  </si>
  <si>
    <t>2C4Q</t>
  </si>
  <si>
    <t>2IZM</t>
  </si>
  <si>
    <t>2C51</t>
  </si>
  <si>
    <t>2C50</t>
  </si>
  <si>
    <t>2IZ8</t>
  </si>
  <si>
    <t>2IZN</t>
  </si>
  <si>
    <t>Protein</t>
  </si>
  <si>
    <t>RNA Seq</t>
  </si>
  <si>
    <t>Single</t>
  </si>
  <si>
    <t>Double</t>
  </si>
  <si>
    <t>Triple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</si>
</sst>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Aptos Narrow"/>
      <family val="2"/>
      <scheme val="minor"/>
    </font>
    <font>
      <sz val="13"/>
      <color theme="1"/>
      <name val="Courier"/>
    </font>
    <font>
      <b/>
      <sz val="13"/>
      <color rgb="FFFF0000"/>
      <name val="Courie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1" xfId="0" applyBorder="1"/>
    <xf numFmtId="0" fontId="1" fillId="0" borderId="5" xfId="0" applyFont="1" applyBorder="1"/>
    <xf numFmtId="0" fontId="1" fillId="0" borderId="6" xfId="0" applyFont="1" applyBorder="1"/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Single Mutation from Native Sequence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Sheet2!$A$2</c:f>
              <c:strCache>
                <c:ptCount val="1"/>
                <c:pt idx="0">
                  <c:v>Single</c:v>
                </c:pt>
              </c:strCache>
            </c:strRef>
          </c:tx>
          <c:spPr>
            <a:solidFill>
              <a:schemeClr val="accent1"/>
            </a:solidFill>
            <a:ln w="38100"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6"/>
              </a:solidFill>
              <a:ln w="3810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DB55-C34C-A88C-32411B7070CB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/>
              </a:solidFill>
              <a:ln w="3810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DB55-C34C-A88C-32411B7070CB}"/>
              </c:ext>
            </c:extLst>
          </c:dPt>
          <c:dPt>
            <c:idx val="2"/>
            <c:invertIfNegative val="0"/>
            <c:bubble3D val="0"/>
            <c:spPr>
              <a:solidFill>
                <a:srgbClr val="FFC000"/>
              </a:solidFill>
              <a:ln w="3810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B55-C34C-A88C-32411B7070CB}"/>
              </c:ext>
            </c:extLst>
          </c:dPt>
          <c:dPt>
            <c:idx val="3"/>
            <c:invertIfNegative val="0"/>
            <c:bubble3D val="0"/>
            <c:spPr>
              <a:solidFill>
                <a:srgbClr val="FFC000"/>
              </a:solidFill>
              <a:ln w="3810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DB55-C34C-A88C-32411B7070CB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 w="3810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DB55-C34C-A88C-32411B7070CB}"/>
              </c:ext>
            </c:extLst>
          </c:dPt>
          <c:dPt>
            <c:idx val="5"/>
            <c:invertIfNegative val="0"/>
            <c:bubble3D val="0"/>
            <c:spPr>
              <a:solidFill>
                <a:srgbClr val="FF0000"/>
              </a:solidFill>
              <a:ln w="3810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DB55-C34C-A88C-32411B7070CB}"/>
              </c:ext>
            </c:extLst>
          </c:dPt>
          <c:dPt>
            <c:idx val="6"/>
            <c:invertIfNegative val="0"/>
            <c:bubble3D val="0"/>
            <c:spPr>
              <a:solidFill>
                <a:srgbClr val="C00000"/>
              </a:solidFill>
              <a:ln w="3810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DB55-C34C-A88C-32411B7070CB}"/>
              </c:ext>
            </c:extLst>
          </c:dPt>
          <c:cat>
            <c:strRef>
              <c:f>Sheet2!$B$1:$H$1</c:f>
              <c:strCache>
                <c:ptCount val="7"/>
                <c:pt idx="0">
                  <c:v>2BU1</c:v>
                </c:pt>
                <c:pt idx="1">
                  <c:v>2C4Q</c:v>
                </c:pt>
                <c:pt idx="2">
                  <c:v>2IZM</c:v>
                </c:pt>
                <c:pt idx="3">
                  <c:v>2C51</c:v>
                </c:pt>
                <c:pt idx="4">
                  <c:v>2C50</c:v>
                </c:pt>
                <c:pt idx="5">
                  <c:v>2IZ8</c:v>
                </c:pt>
                <c:pt idx="6">
                  <c:v>2IZN</c:v>
                </c:pt>
              </c:strCache>
            </c:strRef>
          </c:cat>
          <c:val>
            <c:numRef>
              <c:f>Sheet2!$B$2:$H$2</c:f>
              <c:numCache>
                <c:formatCode>General</c:formatCode>
                <c:ptCount val="7"/>
                <c:pt idx="0">
                  <c:v>0.60599999999999998</c:v>
                </c:pt>
                <c:pt idx="1">
                  <c:v>0.69699999999999995</c:v>
                </c:pt>
                <c:pt idx="2">
                  <c:v>0.36599999999999999</c:v>
                </c:pt>
                <c:pt idx="3">
                  <c:v>0.36699999999999999</c:v>
                </c:pt>
                <c:pt idx="4">
                  <c:v>0.105</c:v>
                </c:pt>
                <c:pt idx="5">
                  <c:v>0.29699999999999999</c:v>
                </c:pt>
                <c:pt idx="6">
                  <c:v>9.6000000000000002E-2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55-C34C-A88C-32411B7070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89786719"/>
        <c:axId val="1193737983"/>
      </c:barChart>
      <c:catAx>
        <c:axId val="1089786719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3737983"/>
        <c:crosses val="autoZero"/>
        <c:auto val="1"/>
        <c:lblAlgn val="ctr"/>
        <c:lblOffset val="100"/>
        <c:noMultiLvlLbl val="0"/>
      </c:catAx>
      <c:valAx>
        <c:axId val="1193737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Pearson Correlation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867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Double Mutation from</a:t>
            </a:r>
            <a:r>
              <a:rPr lang="en-US" baseline="0"/>
              <a:t> Native Sequence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Sheet2!$A$3</c:f>
              <c:strCache>
                <c:ptCount val="1"/>
                <c:pt idx="0">
                  <c:v>Double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Pt>
            <c:idx val="2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AD84-AD4F-85A0-1D67EE02E17D}"/>
              </c:ext>
            </c:extLst>
          </c:dPt>
          <c:dPt>
            <c:idx val="3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AD84-AD4F-85A0-1D67EE02E17D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AD84-AD4F-85A0-1D67EE02E17D}"/>
              </c:ext>
            </c:extLst>
          </c:dPt>
          <c:dPt>
            <c:idx val="5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AD84-AD4F-85A0-1D67EE02E17D}"/>
              </c:ext>
            </c:extLst>
          </c:dPt>
          <c:dPt>
            <c:idx val="6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AD84-AD4F-85A0-1D67EE02E17D}"/>
              </c:ext>
            </c:extLst>
          </c:dPt>
          <c:cat>
            <c:strRef>
              <c:f>Sheet2!$B$1:$H$1</c:f>
              <c:strCache>
                <c:ptCount val="7"/>
                <c:pt idx="0">
                  <c:v>2BU1</c:v>
                </c:pt>
                <c:pt idx="1">
                  <c:v>2C4Q</c:v>
                </c:pt>
                <c:pt idx="2">
                  <c:v>2IZM</c:v>
                </c:pt>
                <c:pt idx="3">
                  <c:v>2C51</c:v>
                </c:pt>
                <c:pt idx="4">
                  <c:v>2C50</c:v>
                </c:pt>
                <c:pt idx="5">
                  <c:v>2IZ8</c:v>
                </c:pt>
                <c:pt idx="6">
                  <c:v>2IZN</c:v>
                </c:pt>
              </c:strCache>
            </c:strRef>
          </c:cat>
          <c:val>
            <c:numRef>
              <c:f>Sheet2!$B$3:$H$3</c:f>
              <c:numCache>
                <c:formatCode>General</c:formatCode>
                <c:ptCount val="7"/>
                <c:pt idx="0">
                  <c:v>0.49</c:v>
                </c:pt>
                <c:pt idx="1">
                  <c:v>0.55600000000000005</c:v>
                </c:pt>
                <c:pt idx="2">
                  <c:v>0.47899999999999998</c:v>
                </c:pt>
                <c:pt idx="3">
                  <c:v>0.317</c:v>
                </c:pt>
                <c:pt idx="4">
                  <c:v>6.8000000000000005E-2</c:v>
                </c:pt>
                <c:pt idx="5">
                  <c:v>0.158</c:v>
                </c:pt>
                <c:pt idx="6">
                  <c:v>0.17100000000000001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D84-AD4F-85A0-1D67EE02E1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89786719"/>
        <c:axId val="1193737983"/>
      </c:barChart>
      <c:catAx>
        <c:axId val="1089786719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3737983"/>
        <c:crosses val="autoZero"/>
        <c:auto val="1"/>
        <c:lblAlgn val="ctr"/>
        <c:lblOffset val="100"/>
        <c:noMultiLvlLbl val="0"/>
      </c:catAx>
      <c:valAx>
        <c:axId val="1193737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Pearson Correlation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867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Triple Mutation from Native Sequence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Sheet2!$A$4</c:f>
              <c:strCache>
                <c:ptCount val="1"/>
                <c:pt idx="0">
                  <c:v>Triple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Pt>
            <c:idx val="2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2F63-0946-8E52-27A701844A22}"/>
              </c:ext>
            </c:extLst>
          </c:dPt>
          <c:dPt>
            <c:idx val="3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F63-0946-8E52-27A701844A22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F63-0946-8E52-27A701844A22}"/>
              </c:ext>
            </c:extLst>
          </c:dPt>
          <c:dPt>
            <c:idx val="5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2F63-0946-8E52-27A701844A22}"/>
              </c:ext>
            </c:extLst>
          </c:dPt>
          <c:dPt>
            <c:idx val="6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2F63-0946-8E52-27A701844A22}"/>
              </c:ext>
            </c:extLst>
          </c:dPt>
          <c:cat>
            <c:strRef>
              <c:f>Sheet2!$B$1:$H$1</c:f>
              <c:strCache>
                <c:ptCount val="7"/>
                <c:pt idx="0">
                  <c:v>2BU1</c:v>
                </c:pt>
                <c:pt idx="1">
                  <c:v>2C4Q</c:v>
                </c:pt>
                <c:pt idx="2">
                  <c:v>2IZM</c:v>
                </c:pt>
                <c:pt idx="3">
                  <c:v>2C51</c:v>
                </c:pt>
                <c:pt idx="4">
                  <c:v>2C50</c:v>
                </c:pt>
                <c:pt idx="5">
                  <c:v>2IZ8</c:v>
                </c:pt>
                <c:pt idx="6">
                  <c:v>2IZN</c:v>
                </c:pt>
              </c:strCache>
            </c:strRef>
          </c:cat>
          <c:val>
            <c:numRef>
              <c:f>Sheet2!$B$4:$H$4</c:f>
              <c:numCache>
                <c:formatCode>General</c:formatCode>
                <c:ptCount val="7"/>
                <c:pt idx="0">
                  <c:v>0.53400000000000003</c:v>
                </c:pt>
                <c:pt idx="1">
                  <c:v>0.58099999999999996</c:v>
                </c:pt>
                <c:pt idx="2">
                  <c:v>0.22900000000000001</c:v>
                </c:pt>
                <c:pt idx="3">
                  <c:v>0.26900000000000002</c:v>
                </c:pt>
                <c:pt idx="4">
                  <c:v>0.24</c:v>
                </c:pt>
                <c:pt idx="5">
                  <c:v>0.34799999999999998</c:v>
                </c:pt>
                <c:pt idx="6">
                  <c:v>-4.5999999999999999E-2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F63-0946-8E52-27A701844A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89786719"/>
        <c:axId val="1193737983"/>
      </c:barChart>
      <c:catAx>
        <c:axId val="1089786719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3737983"/>
        <c:crosses val="autoZero"/>
        <c:auto val="1"/>
        <c:lblAlgn val="ctr"/>
        <c:lblOffset val="100"/>
        <c:noMultiLvlLbl val="0"/>
      </c:catAx>
      <c:valAx>
        <c:axId val="1193737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Pearson Correlation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867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241300</xdr:colOff>
      <xdr:row>12</xdr:row>
      <xdr:rowOff>63500</xdr:rowOff>
    </xdr:from>
    <xdr:to>
      <xdr:col>9</xdr:col>
      <xdr:colOff>177800</xdr:colOff>
      <xdr:row>31</xdr:row>
      <xdr:rowOff>139700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67CB8F6-8575-C989-33C5-611552CB8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558800</xdr:colOff>
      <xdr:row>12</xdr:row>
      <xdr:rowOff>139700</xdr:rowOff>
    </xdr:from>
    <xdr:to>
      <xdr:col>16</xdr:col>
      <xdr:colOff>88900</xdr:colOff>
      <xdr:row>32</xdr:row>
      <xdr:rowOff>12700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CA64F1F-4FDB-3E45-ADC6-41B2C743AF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0</xdr:colOff>
      <xdr:row>13</xdr:row>
      <xdr:rowOff>0</xdr:rowOff>
    </xdr:from>
    <xdr:to>
      <xdr:col>24</xdr:col>
      <xdr:colOff>762000</xdr:colOff>
      <xdr:row>32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B6F4097-C344-7E41-B358-40B32FE6D7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D215B-C4FC-1D4E-8397-0347E3F8121A}">
  <dimension ref="A1:D30"/>
  <sheetViews>
    <sheetView tabSelected="1" zoomScale="90" zoomScaleNormal="90" workbookViewId="0">
      <selection activeCell="B2" sqref="B2"/>
    </sheetView>
  </sheetViews>
  <sheetFormatPr baseColWidth="10" defaultRowHeight="16"/>
  <cols>
    <col min="1" max="1" width="18.83203125" bestFit="1" customWidth="1"/>
    <col min="2" max="2" width="178.5" bestFit="1" customWidth="1"/>
    <col min="3" max="3" width="28.33203125" bestFit="1" customWidth="1"/>
  </cols>
  <sheetData>
    <row r="1" spans="1:4">
      <c r="A1" t="s">
        <v>30</v>
      </c>
      <c r="B1" t="s">
        <v>31</v>
      </c>
      <c r="C1" t="s">
        <v>32</v>
      </c>
    </row>
    <row r="2" spans="1:4" ht="18">
      <c r="A2" s="3" t="s">
        <v>27</v>
      </c>
      <c r="B2" s="1" t="s">
        <v>28</v>
      </c>
      <c r="C2" s="1" t="s">
        <v>29</v>
      </c>
      <c r="D2">
        <f>LEN(C2)</f>
        <v>19</v>
      </c>
    </row>
    <row r="3" spans="1:4" ht="18">
      <c r="A3" t="s">
        <v>0</v>
      </c>
      <c r="B3" s="1" t="s">
        <v>34</v>
      </c>
      <c r="C3" s="1" t="s">
        <v>29</v>
      </c>
      <c r="D3">
        <f t="shared" ref="D3:D30" si="0">LEN(C3)</f>
        <v>19</v>
      </c>
    </row>
    <row r="4" spans="1:4" ht="18">
      <c r="A4" t="s">
        <v>1</v>
      </c>
      <c r="B4" s="1" t="s">
        <v>28</v>
      </c>
      <c r="C4" s="1" t="s">
        <v>33</v>
      </c>
      <c r="D4">
        <f t="shared" si="0"/>
        <v>8</v>
      </c>
    </row>
    <row r="5" spans="1:4" ht="18">
      <c r="A5" t="s">
        <v>2</v>
      </c>
      <c r="B5" s="1" t="s">
        <v>28</v>
      </c>
      <c r="C5" s="1" t="s">
        <v>47</v>
      </c>
      <c r="D5">
        <f t="shared" si="0"/>
        <v>19</v>
      </c>
    </row>
    <row r="6" spans="1:4" ht="18">
      <c r="A6" t="s">
        <v>3</v>
      </c>
      <c r="B6" s="1" t="s">
        <v>42</v>
      </c>
      <c r="C6" s="1" t="s">
        <v>35</v>
      </c>
      <c r="D6">
        <f t="shared" si="0"/>
        <v>20</v>
      </c>
    </row>
    <row r="7" spans="1:4" ht="18">
      <c r="A7" t="s">
        <v>4</v>
      </c>
      <c r="B7" s="1" t="s">
        <v>43</v>
      </c>
      <c r="C7" s="1" t="s">
        <v>29</v>
      </c>
      <c r="D7">
        <f t="shared" si="0"/>
        <v>19</v>
      </c>
    </row>
    <row r="8" spans="1:4" ht="18">
      <c r="A8" s="3" t="s">
        <v>5</v>
      </c>
      <c r="B8" s="1" t="s">
        <v>28</v>
      </c>
      <c r="C8" s="1" t="s">
        <v>36</v>
      </c>
      <c r="D8">
        <f t="shared" si="0"/>
        <v>17</v>
      </c>
    </row>
    <row r="9" spans="1:4" ht="18">
      <c r="A9" t="s">
        <v>6</v>
      </c>
      <c r="B9" s="1" t="s">
        <v>44</v>
      </c>
      <c r="C9" s="1" t="s">
        <v>29</v>
      </c>
      <c r="D9">
        <f t="shared" si="0"/>
        <v>19</v>
      </c>
    </row>
    <row r="10" spans="1:4" ht="18">
      <c r="A10" s="3" t="s">
        <v>7</v>
      </c>
      <c r="B10" s="1" t="s">
        <v>28</v>
      </c>
      <c r="C10" s="1" t="s">
        <v>29</v>
      </c>
      <c r="D10">
        <f t="shared" si="0"/>
        <v>19</v>
      </c>
    </row>
    <row r="11" spans="1:4" ht="18">
      <c r="A11" t="s">
        <v>8</v>
      </c>
      <c r="B11" s="1" t="s">
        <v>28</v>
      </c>
      <c r="C11" s="1" t="s">
        <v>29</v>
      </c>
      <c r="D11">
        <f t="shared" si="0"/>
        <v>19</v>
      </c>
    </row>
    <row r="12" spans="1:4" ht="18">
      <c r="A12" t="s">
        <v>9</v>
      </c>
      <c r="B12" s="1" t="s">
        <v>28</v>
      </c>
      <c r="C12" s="1" t="s">
        <v>29</v>
      </c>
      <c r="D12">
        <f t="shared" si="0"/>
        <v>19</v>
      </c>
    </row>
    <row r="13" spans="1:4" ht="18">
      <c r="A13" t="s">
        <v>10</v>
      </c>
      <c r="B13" s="1" t="s">
        <v>45</v>
      </c>
      <c r="C13" s="1" t="s">
        <v>37</v>
      </c>
      <c r="D13">
        <f t="shared" si="0"/>
        <v>20</v>
      </c>
    </row>
    <row r="14" spans="1:4" ht="18">
      <c r="A14" t="s">
        <v>11</v>
      </c>
      <c r="B14" s="1" t="s">
        <v>28</v>
      </c>
      <c r="C14" s="1" t="s">
        <v>29</v>
      </c>
      <c r="D14">
        <f t="shared" si="0"/>
        <v>19</v>
      </c>
    </row>
    <row r="15" spans="1:4" ht="18">
      <c r="A15" t="s">
        <v>12</v>
      </c>
      <c r="B15" s="1" t="s">
        <v>28</v>
      </c>
      <c r="C15" s="1" t="s">
        <v>47</v>
      </c>
      <c r="D15">
        <f t="shared" si="0"/>
        <v>19</v>
      </c>
    </row>
    <row r="16" spans="1:4" ht="18">
      <c r="A16" t="s">
        <v>13</v>
      </c>
      <c r="B16" s="1" t="s">
        <v>34</v>
      </c>
      <c r="C16" s="1" t="s">
        <v>35</v>
      </c>
      <c r="D16">
        <f t="shared" si="0"/>
        <v>20</v>
      </c>
    </row>
    <row r="17" spans="1:4" ht="18">
      <c r="A17" t="s">
        <v>14</v>
      </c>
      <c r="B17" s="1" t="s">
        <v>28</v>
      </c>
      <c r="C17" s="1" t="s">
        <v>29</v>
      </c>
      <c r="D17">
        <f t="shared" si="0"/>
        <v>19</v>
      </c>
    </row>
    <row r="18" spans="1:4" ht="18">
      <c r="A18" s="3" t="s">
        <v>15</v>
      </c>
      <c r="B18" s="1" t="s">
        <v>28</v>
      </c>
      <c r="C18" s="1" t="s">
        <v>48</v>
      </c>
      <c r="D18">
        <f t="shared" si="0"/>
        <v>19</v>
      </c>
    </row>
    <row r="19" spans="1:4" ht="18">
      <c r="A19" s="3" t="s">
        <v>16</v>
      </c>
      <c r="B19" s="1" t="s">
        <v>28</v>
      </c>
      <c r="C19" s="1" t="s">
        <v>49</v>
      </c>
      <c r="D19">
        <f t="shared" si="0"/>
        <v>19</v>
      </c>
    </row>
    <row r="20" spans="1:4" ht="18">
      <c r="A20" t="s">
        <v>17</v>
      </c>
      <c r="B20" s="1" t="s">
        <v>45</v>
      </c>
      <c r="C20" s="1" t="s">
        <v>35</v>
      </c>
      <c r="D20">
        <f t="shared" si="0"/>
        <v>20</v>
      </c>
    </row>
    <row r="21" spans="1:4" ht="18">
      <c r="A21" s="2" t="s">
        <v>18</v>
      </c>
      <c r="B21" s="1" t="s">
        <v>28</v>
      </c>
      <c r="C21" s="1" t="s">
        <v>38</v>
      </c>
      <c r="D21">
        <f t="shared" si="0"/>
        <v>14</v>
      </c>
    </row>
    <row r="22" spans="1:4" ht="18">
      <c r="A22" t="s">
        <v>19</v>
      </c>
      <c r="B22" s="1" t="s">
        <v>42</v>
      </c>
      <c r="C22" s="1" t="s">
        <v>29</v>
      </c>
      <c r="D22">
        <f t="shared" si="0"/>
        <v>19</v>
      </c>
    </row>
    <row r="23" spans="1:4" ht="18">
      <c r="A23" t="s">
        <v>20</v>
      </c>
      <c r="B23" s="1" t="s">
        <v>46</v>
      </c>
      <c r="D23">
        <f t="shared" si="0"/>
        <v>0</v>
      </c>
    </row>
    <row r="24" spans="1:4" ht="18">
      <c r="A24" s="3" t="s">
        <v>21</v>
      </c>
      <c r="B24" s="1" t="s">
        <v>28</v>
      </c>
      <c r="C24" s="1" t="s">
        <v>50</v>
      </c>
      <c r="D24">
        <f t="shared" si="0"/>
        <v>19</v>
      </c>
    </row>
    <row r="25" spans="1:4" ht="18">
      <c r="A25" s="3" t="s">
        <v>22</v>
      </c>
      <c r="B25" s="1" t="s">
        <v>28</v>
      </c>
      <c r="C25" s="1" t="s">
        <v>51</v>
      </c>
      <c r="D25">
        <f t="shared" si="0"/>
        <v>19</v>
      </c>
    </row>
    <row r="26" spans="1:4" ht="18">
      <c r="A26" t="s">
        <v>23</v>
      </c>
      <c r="B26" s="1" t="s">
        <v>45</v>
      </c>
      <c r="C26" s="1" t="s">
        <v>29</v>
      </c>
      <c r="D26">
        <f t="shared" si="0"/>
        <v>19</v>
      </c>
    </row>
    <row r="27" spans="1:4" ht="18">
      <c r="A27" s="2" t="s">
        <v>24</v>
      </c>
      <c r="B27" s="1" t="s">
        <v>28</v>
      </c>
      <c r="C27" s="1" t="s">
        <v>39</v>
      </c>
      <c r="D27">
        <f t="shared" si="0"/>
        <v>18</v>
      </c>
    </row>
    <row r="28" spans="1:4" ht="18">
      <c r="A28" s="2" t="s">
        <v>25</v>
      </c>
      <c r="B28" s="1" t="s">
        <v>28</v>
      </c>
      <c r="C28" s="1" t="s">
        <v>40</v>
      </c>
      <c r="D28">
        <f t="shared" si="0"/>
        <v>14</v>
      </c>
    </row>
    <row r="29" spans="1:4" ht="18">
      <c r="B29" s="1"/>
      <c r="C29" s="1" t="s">
        <v>41</v>
      </c>
    </row>
    <row r="30" spans="1:4" ht="18">
      <c r="A30" s="3" t="s">
        <v>26</v>
      </c>
      <c r="B30" s="1" t="s">
        <v>28</v>
      </c>
      <c r="C30" s="1" t="s">
        <v>52</v>
      </c>
      <c r="D30">
        <f t="shared" si="0"/>
        <v>19</v>
      </c>
    </row>
  </sheetData>
  <conditionalFormatting sqref="B3:B30">
    <cfRule type="cellIs" dxfId="5" priority="3" operator="equal">
      <formula>$B$2</formula>
    </cfRule>
  </conditionalFormatting>
  <conditionalFormatting sqref="C3:C5">
    <cfRule type="cellIs" dxfId="4" priority="4" operator="equal">
      <formula>$C$2</formula>
    </cfRule>
  </conditionalFormatting>
  <conditionalFormatting sqref="C4:C30">
    <cfRule type="cellIs" dxfId="3" priority="1" operator="equal">
      <formula>$C$2</formula>
    </cfRule>
    <cfRule type="cellIs" dxfId="2" priority="2" operator="equal">
      <formula>$C$2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6CFA5-C9A2-3146-8E5C-F15C97926032}">
  <dimension ref="A1:L8"/>
  <sheetViews>
    <sheetView topLeftCell="D1" workbookViewId="0">
      <selection activeCell="P12" sqref="P12"/>
    </sheetView>
  </sheetViews>
  <sheetFormatPr baseColWidth="10" defaultRowHeight="16"/>
  <cols>
    <col min="12" max="12" width="27" bestFit="1" customWidth="1"/>
  </cols>
  <sheetData>
    <row r="1" spans="1:12">
      <c r="B1" t="s">
        <v>53</v>
      </c>
      <c r="C1" t="s">
        <v>54</v>
      </c>
      <c r="D1" t="s">
        <v>55</v>
      </c>
      <c r="E1" t="s">
        <v>56</v>
      </c>
      <c r="F1" t="s">
        <v>57</v>
      </c>
      <c r="G1" t="s">
        <v>58</v>
      </c>
      <c r="H1" t="s">
        <v>59</v>
      </c>
      <c r="K1" s="6" t="s">
        <v>60</v>
      </c>
      <c r="L1" s="7" t="s">
        <v>61</v>
      </c>
    </row>
    <row r="2" spans="1:12" ht="18">
      <c r="A2" t="s">
        <v>62</v>
      </c>
      <c r="B2">
        <v>0.60599999999999998</v>
      </c>
      <c r="C2">
        <v>0.69699999999999995</v>
      </c>
      <c r="D2">
        <v>0.36599999999999999</v>
      </c>
      <c r="E2">
        <v>0.36699999999999999</v>
      </c>
      <c r="F2">
        <v>0.105</v>
      </c>
      <c r="G2">
        <v>0.29699999999999999</v>
      </c>
      <c r="H2">
        <v>9.6000000000000002E-2</v>
      </c>
      <c r="K2" s="4" t="s">
        <v>53</v>
      </c>
      <c r="L2" s="8" t="s">
        <v>29</v>
      </c>
    </row>
    <row r="3" spans="1:12" ht="18">
      <c r="A3" t="s">
        <v>63</v>
      </c>
      <c r="B3">
        <v>0.49</v>
      </c>
      <c r="C3">
        <v>0.55600000000000005</v>
      </c>
      <c r="D3">
        <v>0.47899999999999998</v>
      </c>
      <c r="E3">
        <v>0.317</v>
      </c>
      <c r="F3">
        <v>6.8000000000000005E-2</v>
      </c>
      <c r="G3">
        <v>0.158</v>
      </c>
      <c r="H3">
        <v>0.17100000000000001</v>
      </c>
      <c r="K3" s="4" t="s">
        <v>54</v>
      </c>
      <c r="L3" s="8" t="s">
        <v>29</v>
      </c>
    </row>
    <row r="4" spans="1:12" ht="18">
      <c r="A4" t="s">
        <v>64</v>
      </c>
      <c r="B4">
        <v>0.53400000000000003</v>
      </c>
      <c r="C4">
        <v>0.58099999999999996</v>
      </c>
      <c r="D4">
        <v>0.22900000000000001</v>
      </c>
      <c r="E4">
        <v>0.26900000000000002</v>
      </c>
      <c r="F4">
        <v>0.24</v>
      </c>
      <c r="G4">
        <v>0.34799999999999998</v>
      </c>
      <c r="H4">
        <v>-4.5999999999999999E-2</v>
      </c>
      <c r="K4" s="4" t="s">
        <v>55</v>
      </c>
      <c r="L4" s="8" t="s">
        <v>48</v>
      </c>
    </row>
    <row r="5" spans="1:12" ht="18">
      <c r="K5" s="4" t="s">
        <v>56</v>
      </c>
      <c r="L5" s="8" t="s">
        <v>50</v>
      </c>
    </row>
    <row r="6" spans="1:12" ht="18">
      <c r="K6" s="4" t="s">
        <v>57</v>
      </c>
      <c r="L6" s="8" t="s">
        <v>51</v>
      </c>
    </row>
    <row r="7" spans="1:12" ht="18">
      <c r="K7" s="4" t="s">
        <v>58</v>
      </c>
      <c r="L7" s="8" t="s">
        <v>52</v>
      </c>
    </row>
    <row r="8" spans="1:12" ht="18">
      <c r="K8" s="5" t="s">
        <v>59</v>
      </c>
      <c r="L8" s="9" t="s">
        <v>49</v>
      </c>
    </row>
  </sheetData>
  <conditionalFormatting sqref="L3:L8">
    <cfRule type="cellIs" dxfId="1" priority="1" operator="equal">
      <formula>$C$2</formula>
    </cfRule>
    <cfRule type="cellIs" dxfId="0" priority="2" operator="equal">
      <formula>$C$2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 Cisneros</dc:creator>
  <cp:lastModifiedBy>Eduardo Cisneros</cp:lastModifiedBy>
  <dcterms:created xsi:type="dcterms:W3CDTF">2024-05-24T17:42:42Z</dcterms:created>
  <dcterms:modified xsi:type="dcterms:W3CDTF">2024-06-21T20:42:09Z</dcterms:modified>
</cp:coreProperties>
</file>