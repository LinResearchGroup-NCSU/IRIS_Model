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/rna_protein_project/Protein_RNA_Optimization-main/2nd_attempt/"/>
    </mc:Choice>
  </mc:AlternateContent>
  <xr:revisionPtr revIDLastSave="0" documentId="13_ncr:1_{B520935B-AA38-A645-89CB-4B6C2AAA8B9D}" xr6:coauthVersionLast="47" xr6:coauthVersionMax="47" xr10:uidLastSave="{00000000-0000-0000-0000-000000000000}"/>
  <bookViews>
    <workbookView xWindow="0" yWindow="760" windowWidth="30240" windowHeight="17320" activeTab="1" xr2:uid="{87D89EA5-A593-3E4C-8982-81C126836FB8}"/>
  </bookViews>
  <sheets>
    <sheet name="Sheet1" sheetId="1" r:id="rId1"/>
    <sheet name="Sheet3" sheetId="3" r:id="rId2"/>
    <sheet name="Sheet2" sheetId="2" r:id="rId3"/>
  </sheets>
  <definedNames>
    <definedName name="_xlchart.v1.0" hidden="1">Sheet3!$B$2:$B$9</definedName>
    <definedName name="_xlchart.v1.1" hidden="1">Sheet3!$C$2:$C$9</definedName>
    <definedName name="_xlchart.v1.2" hidden="1">Sheet3!$D$2:$D$9</definedName>
    <definedName name="_xlchart.v1.3" hidden="1">Sheet3!$E$2:$E$9</definedName>
    <definedName name="_xlchart.v1.4" hidden="1">Sheet3!$F$2:$F$9</definedName>
    <definedName name="_xlchart.v1.5" hidden="1">Sheet3!$B$11:$B$16</definedName>
    <definedName name="_xlchart.v1.6" hidden="1">Sheet3!$C$11:$C$16</definedName>
    <definedName name="_xlchart.v1.7" hidden="1">Sheet3!$D$11:$D$16</definedName>
    <definedName name="_xlchart.v1.8" hidden="1">Sheet3!$E$11:$E$16</definedName>
    <definedName name="_xlchart.v1.9" hidden="1">Sheet3!$F$11:$F$16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30" i="1"/>
  <c r="D2" i="1"/>
</calcChain>
</file>

<file path=xl/sharedStrings.xml><?xml version="1.0" encoding="utf-8"?>
<sst xmlns="http://schemas.openxmlformats.org/spreadsheetml/2006/main" count="146" uniqueCount="89">
  <si>
    <t>2b2e</t>
  </si>
  <si>
    <t>1zdj</t>
  </si>
  <si>
    <t>1zdh</t>
  </si>
  <si>
    <t>1zse</t>
  </si>
  <si>
    <t>1aq4</t>
  </si>
  <si>
    <t>1u1y</t>
  </si>
  <si>
    <t>2bny</t>
  </si>
  <si>
    <t>2c4q</t>
  </si>
  <si>
    <t>1zdi</t>
  </si>
  <si>
    <t>2iz9</t>
  </si>
  <si>
    <t>2bs0</t>
  </si>
  <si>
    <t>2c4y</t>
  </si>
  <si>
    <t>1zdk</t>
  </si>
  <si>
    <t>2b2d</t>
  </si>
  <si>
    <t>2c4z</t>
  </si>
  <si>
    <t>2izm</t>
  </si>
  <si>
    <t>2izn</t>
  </si>
  <si>
    <t>2bs1</t>
  </si>
  <si>
    <t>7msf</t>
  </si>
  <si>
    <t>2b2g</t>
  </si>
  <si>
    <t>5tc1</t>
  </si>
  <si>
    <t>2c51</t>
  </si>
  <si>
    <t>2c50</t>
  </si>
  <si>
    <t>2bq5</t>
  </si>
  <si>
    <t>5msf</t>
  </si>
  <si>
    <t>6msf</t>
  </si>
  <si>
    <t>2iz8</t>
  </si>
  <si>
    <t>2bu1</t>
  </si>
  <si>
    <t>ASNFTQFVLVDNGGTGDVTVAPSNFANGVAEWISSNSRSQAYKVTCSVRQSSAQNRKYTIKVEVPKVATQTVGGVELPVAAWRSYLNMELTIPIFATNSDCELIVKAMQGLLKDGNPIPSAIAANSGIY</t>
  </si>
  <si>
    <t>ACAUGAGGAUUACCCAUGU</t>
  </si>
  <si>
    <t>RNA-Protein Complex</t>
  </si>
  <si>
    <t>Protein Sequence</t>
  </si>
  <si>
    <t>RNA Sequence</t>
  </si>
  <si>
    <t>GGAUCACC</t>
  </si>
  <si>
    <r>
      <t>ASNFTQFVLVDNGGTGDVTVAPSNFANGVAEWISSNSRSQAYKVTCSVRQSSAQNRKYTIKVEVPKVATQTVGGVELPVAAWRSYL</t>
    </r>
    <r>
      <rPr>
        <b/>
        <sz val="13"/>
        <color rgb="FFFF0000"/>
        <rFont val="Courier"/>
      </rPr>
      <t>S</t>
    </r>
    <r>
      <rPr>
        <sz val="13"/>
        <color theme="1"/>
        <rFont val="Courier"/>
      </rPr>
      <t>M</t>
    </r>
    <r>
      <rPr>
        <b/>
        <sz val="13"/>
        <color rgb="FFFF0000"/>
        <rFont val="Courier"/>
      </rPr>
      <t>K</t>
    </r>
    <r>
      <rPr>
        <sz val="13"/>
        <color theme="1"/>
        <rFont val="Courier"/>
      </rPr>
      <t>LTIPIFATNSDCELIVKAMQGLLKDGNPIPSAIAANSGIY</t>
    </r>
  </si>
  <si>
    <t>AUGCAUGUCUAAGACAGCAU</t>
  </si>
  <si>
    <t>CCGGGGGAUCACCACGG</t>
  </si>
  <si>
    <t>AUGCAUGUCUAAGACUGCAU</t>
  </si>
  <si>
    <t>UCGCCAACAGGCGG</t>
  </si>
  <si>
    <t>CCGGAGGAUCACCACGGG</t>
  </si>
  <si>
    <t>CCACAGUCACUGGG</t>
  </si>
  <si>
    <t>CAGUCACUGG</t>
  </si>
  <si>
    <r>
      <t>ASNFTQFVLVDNGGTGDVTVAPSNFANGVAEWISSNSRSQAYKVTCSVRQSSAQNRKYTIKVEVPKVATQTVGGVELPVAAWRSYL</t>
    </r>
    <r>
      <rPr>
        <b/>
        <sz val="13"/>
        <color rgb="FFFF0000"/>
        <rFont val="Courier"/>
      </rPr>
      <t>S</t>
    </r>
    <r>
      <rPr>
        <sz val="13"/>
        <color theme="1"/>
        <rFont val="Courier"/>
      </rPr>
      <t>MELTIPIFATNSDCELIVKAMQGLLKDGNPIPSAIAANSGIY</t>
    </r>
  </si>
  <si>
    <r>
      <t>ASNFTQFVLVDNGGTGDVTVAPSNFANGVAEWISSNSRSQAYKV</t>
    </r>
    <r>
      <rPr>
        <b/>
        <sz val="13"/>
        <color rgb="FFFF0000"/>
        <rFont val="Courier"/>
      </rPr>
      <t>A</t>
    </r>
    <r>
      <rPr>
        <sz val="13"/>
        <color theme="1"/>
        <rFont val="Courier"/>
      </rPr>
      <t>CSVRQSSAQNRKYTIKVEVPKVATQTVGGVELPVAAWRSYLNMELTIPIFATNSDCELIVKAMQGLLKDGNPIPSAIAANSGIY</t>
    </r>
  </si>
  <si>
    <r>
      <t>ASNFTQFVLVDNGGTGDVTVAPSNFANGVAEWISSNSRSQAYKVTCSVRQSSAQNRKYTIKVEVPKVATQTVGGVELPVAAWRSYL</t>
    </r>
    <r>
      <rPr>
        <b/>
        <sz val="13"/>
        <color rgb="FFFF0000"/>
        <rFont val="Courier"/>
      </rPr>
      <t>A</t>
    </r>
    <r>
      <rPr>
        <sz val="13"/>
        <color theme="1"/>
        <rFont val="Courier"/>
      </rPr>
      <t>MELTIPIFATNSDCELIVKAMQGLLKDGNPIPSAIAANSGIY</t>
    </r>
  </si>
  <si>
    <r>
      <t>ASNFTQFVLVDNGGTGDVTVAPSNFANGVAEWISSNSRSQAYKVTCSVRQSSAQNRKYTIKVEVPKVATQTVGGVELPVAAWRSYL</t>
    </r>
    <r>
      <rPr>
        <b/>
        <sz val="13"/>
        <color rgb="FFFF0000"/>
        <rFont val="Courier"/>
      </rPr>
      <t>A</t>
    </r>
    <r>
      <rPr>
        <sz val="13"/>
        <color theme="1"/>
        <rFont val="Courier"/>
      </rPr>
      <t>M</t>
    </r>
    <r>
      <rPr>
        <b/>
        <sz val="13"/>
        <color rgb="FFFF0000"/>
        <rFont val="Courier"/>
      </rPr>
      <t>K</t>
    </r>
    <r>
      <rPr>
        <sz val="13"/>
        <color theme="1"/>
        <rFont val="Courier"/>
      </rPr>
      <t>LTIPIFATNSDCELIVKAMQGLLKDGNPIPSAIAANSGIY</t>
    </r>
  </si>
  <si>
    <r>
      <rPr>
        <b/>
        <sz val="13"/>
        <color rgb="FFFF0000"/>
        <rFont val="Courier"/>
      </rPr>
      <t>M</t>
    </r>
    <r>
      <rPr>
        <sz val="13"/>
        <color theme="1"/>
        <rFont val="Courier"/>
      </rPr>
      <t>ASNFTQFVLVDNGGTGDVTVAPSNFANGVAEWISSNSRSQAYKVTCSVRQSSAQNRKYTIKVEVPKVATQTVGGVELPVAAWRSYLNMELTIPIFATNSDCELIVKAMQGLLKDGNPIPSAIAANSGIY</t>
    </r>
  </si>
  <si>
    <r>
      <t>ACAUGAGGAU</t>
    </r>
    <r>
      <rPr>
        <b/>
        <sz val="13"/>
        <color rgb="FFFF0000"/>
        <rFont val="Courier"/>
      </rPr>
      <t>C</t>
    </r>
    <r>
      <rPr>
        <sz val="13"/>
        <color theme="1"/>
        <rFont val="Courier"/>
      </rPr>
      <t>ACCCAUGU</t>
    </r>
  </si>
  <si>
    <r>
      <t>ACAUGCGGAU</t>
    </r>
    <r>
      <rPr>
        <b/>
        <sz val="13"/>
        <color rgb="FFFF0000"/>
        <rFont val="Courier"/>
      </rPr>
      <t>C</t>
    </r>
    <r>
      <rPr>
        <sz val="13"/>
        <color theme="1"/>
        <rFont val="Courier"/>
      </rPr>
      <t>ACCCAUGU</t>
    </r>
  </si>
  <si>
    <r>
      <t>ACAU</t>
    </r>
    <r>
      <rPr>
        <b/>
        <sz val="13"/>
        <color rgb="FFFF0000"/>
        <rFont val="Courier"/>
      </rPr>
      <t>CGC</t>
    </r>
    <r>
      <rPr>
        <sz val="13"/>
        <color theme="1"/>
        <rFont val="Courier"/>
      </rPr>
      <t>GAUUAC</t>
    </r>
    <r>
      <rPr>
        <b/>
        <sz val="13"/>
        <color rgb="FFFF0000"/>
        <rFont val="Courier"/>
      </rPr>
      <t>GG</t>
    </r>
    <r>
      <rPr>
        <sz val="13"/>
        <color theme="1"/>
        <rFont val="Courier"/>
      </rPr>
      <t>AUGU</t>
    </r>
  </si>
  <si>
    <r>
      <t>ACAUGAGGAU</t>
    </r>
    <r>
      <rPr>
        <b/>
        <sz val="13"/>
        <color rgb="FFFF0000"/>
        <rFont val="Courier"/>
      </rPr>
      <t>G</t>
    </r>
    <r>
      <rPr>
        <sz val="13"/>
        <color theme="1"/>
        <rFont val="Courier"/>
      </rPr>
      <t>ACCCAUGU</t>
    </r>
  </si>
  <si>
    <r>
      <t>ACAUGAGGAU</t>
    </r>
    <r>
      <rPr>
        <b/>
        <sz val="13"/>
        <color rgb="FFFF0000"/>
        <rFont val="Courier"/>
      </rPr>
      <t>A</t>
    </r>
    <r>
      <rPr>
        <sz val="13"/>
        <color theme="1"/>
        <rFont val="Courier"/>
      </rPr>
      <t>ACCCAUGU</t>
    </r>
  </si>
  <si>
    <r>
      <t>ACAUGAGG</t>
    </r>
    <r>
      <rPr>
        <b/>
        <sz val="13"/>
        <color rgb="FFFF0000"/>
        <rFont val="Courier"/>
      </rPr>
      <t>C</t>
    </r>
    <r>
      <rPr>
        <sz val="13"/>
        <color theme="1"/>
        <rFont val="Courier"/>
      </rPr>
      <t>U</t>
    </r>
    <r>
      <rPr>
        <b/>
        <sz val="13"/>
        <color rgb="FFFF0000"/>
        <rFont val="Courier"/>
      </rPr>
      <t>C</t>
    </r>
    <r>
      <rPr>
        <sz val="13"/>
        <color theme="1"/>
        <rFont val="Courier"/>
      </rPr>
      <t>ACCCAUGU</t>
    </r>
  </si>
  <si>
    <t>2BU1</t>
  </si>
  <si>
    <t>2C4Q</t>
  </si>
  <si>
    <t>2IZM</t>
  </si>
  <si>
    <t>2C51</t>
  </si>
  <si>
    <t>2C50</t>
  </si>
  <si>
    <t>2IZ8</t>
  </si>
  <si>
    <t>2IZN</t>
  </si>
  <si>
    <t>Protein</t>
  </si>
  <si>
    <t>RNA Seq</t>
  </si>
  <si>
    <t>Single</t>
  </si>
  <si>
    <t>Double</t>
  </si>
  <si>
    <t>Triple</t>
  </si>
  <si>
    <t>Incomplete Structure, missing second half of the protein chain binding to the RNA</t>
  </si>
  <si>
    <t>1_Mutation</t>
  </si>
  <si>
    <t>2_Mutation</t>
  </si>
  <si>
    <t>3_Mutation</t>
  </si>
  <si>
    <t>4_Mutation</t>
  </si>
  <si>
    <t>AF_Mutation</t>
  </si>
  <si>
    <t>Pearson_Correlation</t>
  </si>
  <si>
    <t>Same Protein Seq, Different RNA Seq</t>
  </si>
  <si>
    <t>Same RNA Seq, Different Protein Seq</t>
  </si>
  <si>
    <t>2b2e (2_Mut)</t>
  </si>
  <si>
    <t>1u1y (4+_Mut)</t>
  </si>
  <si>
    <t>2bny (1_Mut)</t>
  </si>
  <si>
    <t>2bu1 (Nat)</t>
  </si>
  <si>
    <t>2c4q (Nat)</t>
  </si>
  <si>
    <t>2c4y (Nat)</t>
  </si>
  <si>
    <t>2c4z (Nat)</t>
  </si>
  <si>
    <t>2izm (1_Mut)</t>
  </si>
  <si>
    <t>2izn (4+_Mut)</t>
  </si>
  <si>
    <t>2b2g (1_Mut)</t>
  </si>
  <si>
    <t>2bq5 (2_Mut)</t>
  </si>
  <si>
    <t>2c51 (1_Mut)</t>
  </si>
  <si>
    <t>2c50 (1_Mut)</t>
  </si>
  <si>
    <t>2iz8 (2_Mut)</t>
  </si>
  <si>
    <t>AF_4_Mutation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</si>
</sst>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3"/>
      <color theme="1"/>
      <name val="Courier"/>
    </font>
    <font>
      <b/>
      <sz val="13"/>
      <color rgb="FFFF0000"/>
      <name val="Courie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1" fillId="0" borderId="5" xfId="0" applyFont="1" applyBorder="1"/>
    <xf numFmtId="0" fontId="1" fillId="0" borderId="6" xfId="0" applyFont="1" applyBorder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MS2 Complex (Same Protein Seq, Different RNA Seq) - Pearson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Sheet3!$A$2</c:f>
              <c:strCache>
                <c:ptCount val="1"/>
                <c:pt idx="0">
                  <c:v>2bu1 (Nat)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Sheet3!$B$1:$F$1</c:f>
              <c:strCache>
                <c:ptCount val="5"/>
                <c:pt idx="0">
                  <c:v>1_Mutation</c:v>
                </c:pt>
                <c:pt idx="1">
                  <c:v>2_Mutation</c:v>
                </c:pt>
                <c:pt idx="2">
                  <c:v>3_Mutation</c:v>
                </c:pt>
                <c:pt idx="3">
                  <c:v>4_Mutation</c:v>
                </c:pt>
                <c:pt idx="4">
                  <c:v>AF_4_Mutation</c:v>
                </c:pt>
              </c:strCache>
            </c:strRef>
          </c:cat>
          <c:val>
            <c:numRef>
              <c:f>Sheet3!$B$2:$F$2</c:f>
              <c:numCache>
                <c:formatCode>General</c:formatCode>
                <c:ptCount val="5"/>
                <c:pt idx="0">
                  <c:v>0.60599999999999998</c:v>
                </c:pt>
                <c:pt idx="1">
                  <c:v>0.49</c:v>
                </c:pt>
                <c:pt idx="2">
                  <c:v>0.53400000000000003</c:v>
                </c:pt>
                <c:pt idx="3">
                  <c:v>-0.54700000000000004</c:v>
                </c:pt>
                <c:pt idx="4">
                  <c:v>-0.16200000000000001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2-8F40-A747-E68CE326DD95}"/>
            </c:ext>
          </c:extLst>
        </c:ser>
        <c:ser>
          <c:idx val="1"/>
          <c:order val="1"/>
          <c:tx>
            <c:strRef>
              <c:f>Sheet3!$A$3</c:f>
              <c:strCache>
                <c:ptCount val="1"/>
                <c:pt idx="0">
                  <c:v>1u1y (4+_Mut)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Sheet3!$B$1:$F$1</c:f>
              <c:strCache>
                <c:ptCount val="5"/>
                <c:pt idx="0">
                  <c:v>1_Mutation</c:v>
                </c:pt>
                <c:pt idx="1">
                  <c:v>2_Mutation</c:v>
                </c:pt>
                <c:pt idx="2">
                  <c:v>3_Mutation</c:v>
                </c:pt>
                <c:pt idx="3">
                  <c:v>4_Mutation</c:v>
                </c:pt>
                <c:pt idx="4">
                  <c:v>AF_4_Mutation</c:v>
                </c:pt>
              </c:strCache>
            </c:strRef>
          </c:cat>
          <c:val>
            <c:numRef>
              <c:f>Sheet3!$B$3:$F$3</c:f>
              <c:numCache>
                <c:formatCode>General</c:formatCode>
                <c:ptCount val="5"/>
                <c:pt idx="0">
                  <c:v>0.08</c:v>
                </c:pt>
                <c:pt idx="1">
                  <c:v>-9.5000000000000001E-2</c:v>
                </c:pt>
                <c:pt idx="2">
                  <c:v>-0.26600000000000001</c:v>
                </c:pt>
                <c:pt idx="3">
                  <c:v>-0.41299999999999998</c:v>
                </c:pt>
                <c:pt idx="4">
                  <c:v>-0.12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B2-8F40-A747-E68CE326DD95}"/>
            </c:ext>
          </c:extLst>
        </c:ser>
        <c:ser>
          <c:idx val="2"/>
          <c:order val="2"/>
          <c:tx>
            <c:strRef>
              <c:f>Sheet3!$A$4</c:f>
              <c:strCache>
                <c:ptCount val="1"/>
                <c:pt idx="0">
                  <c:v>2c4q (Nat)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Sheet3!$B$1:$F$1</c:f>
              <c:strCache>
                <c:ptCount val="5"/>
                <c:pt idx="0">
                  <c:v>1_Mutation</c:v>
                </c:pt>
                <c:pt idx="1">
                  <c:v>2_Mutation</c:v>
                </c:pt>
                <c:pt idx="2">
                  <c:v>3_Mutation</c:v>
                </c:pt>
                <c:pt idx="3">
                  <c:v>4_Mutation</c:v>
                </c:pt>
                <c:pt idx="4">
                  <c:v>AF_4_Mutation</c:v>
                </c:pt>
              </c:strCache>
            </c:strRef>
          </c:cat>
          <c:val>
            <c:numRef>
              <c:f>Sheet3!$B$4:$F$4</c:f>
              <c:numCache>
                <c:formatCode>General</c:formatCode>
                <c:ptCount val="5"/>
                <c:pt idx="0">
                  <c:v>0.69699999999999995</c:v>
                </c:pt>
                <c:pt idx="1">
                  <c:v>0.55600000000000005</c:v>
                </c:pt>
                <c:pt idx="2">
                  <c:v>0.58099999999999996</c:v>
                </c:pt>
                <c:pt idx="3">
                  <c:v>-0.47799999999999998</c:v>
                </c:pt>
                <c:pt idx="4">
                  <c:v>-0.17399999999999999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B2-8F40-A747-E68CE326DD95}"/>
            </c:ext>
          </c:extLst>
        </c:ser>
        <c:ser>
          <c:idx val="3"/>
          <c:order val="3"/>
          <c:tx>
            <c:strRef>
              <c:f>Sheet3!$A$5</c:f>
              <c:strCache>
                <c:ptCount val="1"/>
                <c:pt idx="0">
                  <c:v>2izm (1_Mut)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Sheet3!$B$1:$F$1</c:f>
              <c:strCache>
                <c:ptCount val="5"/>
                <c:pt idx="0">
                  <c:v>1_Mutation</c:v>
                </c:pt>
                <c:pt idx="1">
                  <c:v>2_Mutation</c:v>
                </c:pt>
                <c:pt idx="2">
                  <c:v>3_Mutation</c:v>
                </c:pt>
                <c:pt idx="3">
                  <c:v>4_Mutation</c:v>
                </c:pt>
                <c:pt idx="4">
                  <c:v>AF_4_Mutation</c:v>
                </c:pt>
              </c:strCache>
            </c:strRef>
          </c:cat>
          <c:val>
            <c:numRef>
              <c:f>Sheet3!$B$5:$F$5</c:f>
              <c:numCache>
                <c:formatCode>General</c:formatCode>
                <c:ptCount val="5"/>
                <c:pt idx="0">
                  <c:v>0.36599999999999999</c:v>
                </c:pt>
                <c:pt idx="1">
                  <c:v>0.47899999999999998</c:v>
                </c:pt>
                <c:pt idx="2">
                  <c:v>0.55400000000000005</c:v>
                </c:pt>
                <c:pt idx="3">
                  <c:v>-0.38800000000000001</c:v>
                </c:pt>
                <c:pt idx="4">
                  <c:v>-0.248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B2-8F40-A747-E68CE326DD95}"/>
            </c:ext>
          </c:extLst>
        </c:ser>
        <c:ser>
          <c:idx val="4"/>
          <c:order val="4"/>
          <c:tx>
            <c:strRef>
              <c:f>Sheet3!$A$6</c:f>
              <c:strCache>
                <c:ptCount val="1"/>
                <c:pt idx="0">
                  <c:v>2izn (4+_Mut)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Sheet3!$B$1:$F$1</c:f>
              <c:strCache>
                <c:ptCount val="5"/>
                <c:pt idx="0">
                  <c:v>1_Mutation</c:v>
                </c:pt>
                <c:pt idx="1">
                  <c:v>2_Mutation</c:v>
                </c:pt>
                <c:pt idx="2">
                  <c:v>3_Mutation</c:v>
                </c:pt>
                <c:pt idx="3">
                  <c:v>4_Mutation</c:v>
                </c:pt>
                <c:pt idx="4">
                  <c:v>AF_4_Mutation</c:v>
                </c:pt>
              </c:strCache>
            </c:strRef>
          </c:cat>
          <c:val>
            <c:numRef>
              <c:f>Sheet3!$B$6:$F$6</c:f>
              <c:numCache>
                <c:formatCode>General</c:formatCode>
                <c:ptCount val="5"/>
                <c:pt idx="0">
                  <c:v>9.6000000000000002E-2</c:v>
                </c:pt>
                <c:pt idx="1">
                  <c:v>0.17100000000000001</c:v>
                </c:pt>
                <c:pt idx="2">
                  <c:v>-4.5999999999999999E-2</c:v>
                </c:pt>
                <c:pt idx="3">
                  <c:v>-0.14599999999999999</c:v>
                </c:pt>
                <c:pt idx="4">
                  <c:v>-0.17699999999999999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B2-8F40-A747-E68CE326DD95}"/>
            </c:ext>
          </c:extLst>
        </c:ser>
        <c:ser>
          <c:idx val="5"/>
          <c:order val="5"/>
          <c:tx>
            <c:strRef>
              <c:f>Sheet3!$A$7</c:f>
              <c:strCache>
                <c:ptCount val="1"/>
                <c:pt idx="0">
                  <c:v>2c51 (1_Mut)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Sheet3!$B$1:$F$1</c:f>
              <c:strCache>
                <c:ptCount val="5"/>
                <c:pt idx="0">
                  <c:v>1_Mutation</c:v>
                </c:pt>
                <c:pt idx="1">
                  <c:v>2_Mutation</c:v>
                </c:pt>
                <c:pt idx="2">
                  <c:v>3_Mutation</c:v>
                </c:pt>
                <c:pt idx="3">
                  <c:v>4_Mutation</c:v>
                </c:pt>
                <c:pt idx="4">
                  <c:v>AF_4_Mutation</c:v>
                </c:pt>
              </c:strCache>
            </c:strRef>
          </c:cat>
          <c:val>
            <c:numRef>
              <c:f>Sheet3!$B$7:$F$7</c:f>
              <c:numCache>
                <c:formatCode>General</c:formatCode>
                <c:ptCount val="5"/>
                <c:pt idx="0">
                  <c:v>0.36699999999999999</c:v>
                </c:pt>
                <c:pt idx="1">
                  <c:v>0.317</c:v>
                </c:pt>
                <c:pt idx="2">
                  <c:v>0.26900000000000002</c:v>
                </c:pt>
                <c:pt idx="3">
                  <c:v>-0.26</c:v>
                </c:pt>
                <c:pt idx="4">
                  <c:v>-0.24299999999999999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B2-8F40-A747-E68CE326DD95}"/>
            </c:ext>
          </c:extLst>
        </c:ser>
        <c:ser>
          <c:idx val="6"/>
          <c:order val="6"/>
          <c:tx>
            <c:strRef>
              <c:f>Sheet3!$A$8</c:f>
              <c:strCache>
                <c:ptCount val="1"/>
                <c:pt idx="0">
                  <c:v>2c50 (1_Mut)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Sheet3!$B$1:$F$1</c:f>
              <c:strCache>
                <c:ptCount val="5"/>
                <c:pt idx="0">
                  <c:v>1_Mutation</c:v>
                </c:pt>
                <c:pt idx="1">
                  <c:v>2_Mutation</c:v>
                </c:pt>
                <c:pt idx="2">
                  <c:v>3_Mutation</c:v>
                </c:pt>
                <c:pt idx="3">
                  <c:v>4_Mutation</c:v>
                </c:pt>
                <c:pt idx="4">
                  <c:v>AF_4_Mutation</c:v>
                </c:pt>
              </c:strCache>
            </c:strRef>
          </c:cat>
          <c:val>
            <c:numRef>
              <c:f>Sheet3!$B$8:$F$8</c:f>
              <c:numCache>
                <c:formatCode>General</c:formatCode>
                <c:ptCount val="5"/>
                <c:pt idx="0">
                  <c:v>0.105</c:v>
                </c:pt>
                <c:pt idx="1">
                  <c:v>6.8000000000000005E-2</c:v>
                </c:pt>
                <c:pt idx="2">
                  <c:v>0.24</c:v>
                </c:pt>
                <c:pt idx="3">
                  <c:v>-0.214</c:v>
                </c:pt>
                <c:pt idx="4">
                  <c:v>-0.109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B2-8F40-A747-E68CE326DD95}"/>
            </c:ext>
          </c:extLst>
        </c:ser>
        <c:ser>
          <c:idx val="7"/>
          <c:order val="7"/>
          <c:tx>
            <c:strRef>
              <c:f>Sheet3!$A$9</c:f>
              <c:strCache>
                <c:ptCount val="1"/>
                <c:pt idx="0">
                  <c:v>2iz8 (2_Mut)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Sheet3!$B$1:$F$1</c:f>
              <c:strCache>
                <c:ptCount val="5"/>
                <c:pt idx="0">
                  <c:v>1_Mutation</c:v>
                </c:pt>
                <c:pt idx="1">
                  <c:v>2_Mutation</c:v>
                </c:pt>
                <c:pt idx="2">
                  <c:v>3_Mutation</c:v>
                </c:pt>
                <c:pt idx="3">
                  <c:v>4_Mutation</c:v>
                </c:pt>
                <c:pt idx="4">
                  <c:v>AF_4_Mutation</c:v>
                </c:pt>
              </c:strCache>
            </c:strRef>
          </c:cat>
          <c:val>
            <c:numRef>
              <c:f>Sheet3!$B$9:$F$9</c:f>
              <c:numCache>
                <c:formatCode>General</c:formatCode>
                <c:ptCount val="5"/>
                <c:pt idx="0">
                  <c:v>0.29699999999999999</c:v>
                </c:pt>
                <c:pt idx="1">
                  <c:v>0.158</c:v>
                </c:pt>
                <c:pt idx="2">
                  <c:v>0.34799999999999998</c:v>
                </c:pt>
                <c:pt idx="3">
                  <c:v>-0.45300000000000001</c:v>
                </c:pt>
                <c:pt idx="4">
                  <c:v>-0.245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8B2-8F40-A747-E68CE326D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788960"/>
        <c:axId val="968822768"/>
      </c:lineChart>
      <c:catAx>
        <c:axId val="761788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Mutations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822768"/>
        <c:crosses val="autoZero"/>
        <c:auto val="1"/>
        <c:lblAlgn val="ctr"/>
        <c:lblOffset val="100"/>
        <c:noMultiLvlLbl val="0"/>
      </c:catAx>
      <c:valAx>
        <c:axId val="96882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Pearson Correlation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8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MS2 Complex (Same RNA Seq, Different Protein Seq) - Pearson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Sheet3!$A$11</c:f>
              <c:strCache>
                <c:ptCount val="1"/>
                <c:pt idx="0">
                  <c:v>2b2e (2_Mut)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Sheet3!$B$1:$F$1</c:f>
              <c:strCache>
                <c:ptCount val="5"/>
                <c:pt idx="0">
                  <c:v>1_Mutation</c:v>
                </c:pt>
                <c:pt idx="1">
                  <c:v>2_Mutation</c:v>
                </c:pt>
                <c:pt idx="2">
                  <c:v>3_Mutation</c:v>
                </c:pt>
                <c:pt idx="3">
                  <c:v>4_Mutation</c:v>
                </c:pt>
                <c:pt idx="4">
                  <c:v>AF_4_Mutation</c:v>
                </c:pt>
              </c:strCache>
            </c:strRef>
          </c:cat>
          <c:val>
            <c:numRef>
              <c:f>Sheet3!$B$11:$F$11</c:f>
              <c:numCache>
                <c:formatCode>General</c:formatCode>
                <c:ptCount val="5"/>
                <c:pt idx="0">
                  <c:v>7.9000000000000001E-2</c:v>
                </c:pt>
                <c:pt idx="1">
                  <c:v>0.16700000000000001</c:v>
                </c:pt>
                <c:pt idx="2">
                  <c:v>0.21</c:v>
                </c:pt>
                <c:pt idx="3">
                  <c:v>7.0000000000000001E-3</c:v>
                </c:pt>
                <c:pt idx="4">
                  <c:v>-0.29899999999999999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D-F241-BBAE-8CB7AA2F7F32}"/>
            </c:ext>
          </c:extLst>
        </c:ser>
        <c:ser>
          <c:idx val="1"/>
          <c:order val="1"/>
          <c:tx>
            <c:strRef>
              <c:f>Sheet3!$A$12</c:f>
              <c:strCache>
                <c:ptCount val="1"/>
                <c:pt idx="0">
                  <c:v>2bny (1_Mut)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Sheet3!$B$1:$F$1</c:f>
              <c:strCache>
                <c:ptCount val="5"/>
                <c:pt idx="0">
                  <c:v>1_Mutation</c:v>
                </c:pt>
                <c:pt idx="1">
                  <c:v>2_Mutation</c:v>
                </c:pt>
                <c:pt idx="2">
                  <c:v>3_Mutation</c:v>
                </c:pt>
                <c:pt idx="3">
                  <c:v>4_Mutation</c:v>
                </c:pt>
                <c:pt idx="4">
                  <c:v>AF_4_Mutation</c:v>
                </c:pt>
              </c:strCache>
            </c:strRef>
          </c:cat>
          <c:val>
            <c:numRef>
              <c:f>Sheet3!$B$12:$F$12</c:f>
              <c:numCache>
                <c:formatCode>General</c:formatCode>
                <c:ptCount val="5"/>
                <c:pt idx="0">
                  <c:v>0.114</c:v>
                </c:pt>
                <c:pt idx="1">
                  <c:v>0.23</c:v>
                </c:pt>
                <c:pt idx="2">
                  <c:v>0.224</c:v>
                </c:pt>
                <c:pt idx="3">
                  <c:v>-5.2999999999999999E-2</c:v>
                </c:pt>
                <c:pt idx="4">
                  <c:v>-0.36099999999999999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CD-F241-BBAE-8CB7AA2F7F32}"/>
            </c:ext>
          </c:extLst>
        </c:ser>
        <c:ser>
          <c:idx val="2"/>
          <c:order val="2"/>
          <c:tx>
            <c:strRef>
              <c:f>Sheet3!$A$13</c:f>
              <c:strCache>
                <c:ptCount val="1"/>
                <c:pt idx="0">
                  <c:v>2c4y (Nat)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Sheet3!$B$1:$F$1</c:f>
              <c:strCache>
                <c:ptCount val="5"/>
                <c:pt idx="0">
                  <c:v>1_Mutation</c:v>
                </c:pt>
                <c:pt idx="1">
                  <c:v>2_Mutation</c:v>
                </c:pt>
                <c:pt idx="2">
                  <c:v>3_Mutation</c:v>
                </c:pt>
                <c:pt idx="3">
                  <c:v>4_Mutation</c:v>
                </c:pt>
                <c:pt idx="4">
                  <c:v>AF_4_Mutation</c:v>
                </c:pt>
              </c:strCache>
            </c:strRef>
          </c:cat>
          <c:val>
            <c:numRef>
              <c:f>Sheet3!$B$13:$F$13</c:f>
              <c:numCache>
                <c:formatCode>General</c:formatCode>
                <c:ptCount val="5"/>
                <c:pt idx="0">
                  <c:v>0.20899999999999999</c:v>
                </c:pt>
                <c:pt idx="1">
                  <c:v>0.215</c:v>
                </c:pt>
                <c:pt idx="2">
                  <c:v>0.13</c:v>
                </c:pt>
                <c:pt idx="3">
                  <c:v>-0.23200000000000001</c:v>
                </c:pt>
                <c:pt idx="4">
                  <c:v>-0.28499999999999998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CD-F241-BBAE-8CB7AA2F7F32}"/>
            </c:ext>
          </c:extLst>
        </c:ser>
        <c:ser>
          <c:idx val="3"/>
          <c:order val="3"/>
          <c:tx>
            <c:strRef>
              <c:f>Sheet3!$A$14</c:f>
              <c:strCache>
                <c:ptCount val="1"/>
                <c:pt idx="0">
                  <c:v>2c4z (Nat)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Sheet3!$B$1:$F$1</c:f>
              <c:strCache>
                <c:ptCount val="5"/>
                <c:pt idx="0">
                  <c:v>1_Mutation</c:v>
                </c:pt>
                <c:pt idx="1">
                  <c:v>2_Mutation</c:v>
                </c:pt>
                <c:pt idx="2">
                  <c:v>3_Mutation</c:v>
                </c:pt>
                <c:pt idx="3">
                  <c:v>4_Mutation</c:v>
                </c:pt>
                <c:pt idx="4">
                  <c:v>AF_4_Mutation</c:v>
                </c:pt>
              </c:strCache>
            </c:strRef>
          </c:cat>
          <c:val>
            <c:numRef>
              <c:f>Sheet3!$B$14:$F$14</c:f>
              <c:numCache>
                <c:formatCode>General</c:formatCode>
                <c:ptCount val="5"/>
                <c:pt idx="0">
                  <c:v>0.28699999999999998</c:v>
                </c:pt>
                <c:pt idx="1">
                  <c:v>0.28199999999999997</c:v>
                </c:pt>
                <c:pt idx="2">
                  <c:v>0.17399999999999999</c:v>
                </c:pt>
                <c:pt idx="3">
                  <c:v>-0.30299999999999999</c:v>
                </c:pt>
                <c:pt idx="4">
                  <c:v>-0.26700000000000002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CD-F241-BBAE-8CB7AA2F7F32}"/>
            </c:ext>
          </c:extLst>
        </c:ser>
        <c:ser>
          <c:idx val="4"/>
          <c:order val="4"/>
          <c:tx>
            <c:strRef>
              <c:f>Sheet3!$A$15</c:f>
              <c:strCache>
                <c:ptCount val="1"/>
                <c:pt idx="0">
                  <c:v>2b2g (1_Mut)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Sheet3!$B$1:$F$1</c:f>
              <c:strCache>
                <c:ptCount val="5"/>
                <c:pt idx="0">
                  <c:v>1_Mutation</c:v>
                </c:pt>
                <c:pt idx="1">
                  <c:v>2_Mutation</c:v>
                </c:pt>
                <c:pt idx="2">
                  <c:v>3_Mutation</c:v>
                </c:pt>
                <c:pt idx="3">
                  <c:v>4_Mutation</c:v>
                </c:pt>
                <c:pt idx="4">
                  <c:v>AF_4_Mutation</c:v>
                </c:pt>
              </c:strCache>
            </c:strRef>
          </c:cat>
          <c:val>
            <c:numRef>
              <c:f>Sheet3!$B$15:$F$15</c:f>
              <c:numCache>
                <c:formatCode>General</c:formatCode>
                <c:ptCount val="5"/>
                <c:pt idx="0">
                  <c:v>7.5999999999999998E-2</c:v>
                </c:pt>
                <c:pt idx="1">
                  <c:v>0.161</c:v>
                </c:pt>
                <c:pt idx="2">
                  <c:v>0.17299999999999999</c:v>
                </c:pt>
                <c:pt idx="3">
                  <c:v>-3.3000000000000002E-2</c:v>
                </c:pt>
                <c:pt idx="4">
                  <c:v>-0.34699999999999998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CD-F241-BBAE-8CB7AA2F7F32}"/>
            </c:ext>
          </c:extLst>
        </c:ser>
        <c:ser>
          <c:idx val="5"/>
          <c:order val="5"/>
          <c:tx>
            <c:strRef>
              <c:f>Sheet3!$A$16</c:f>
              <c:strCache>
                <c:ptCount val="1"/>
                <c:pt idx="0">
                  <c:v>2bq5 (2_Mut)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Sheet3!$B$1:$F$1</c:f>
              <c:strCache>
                <c:ptCount val="5"/>
                <c:pt idx="0">
                  <c:v>1_Mutation</c:v>
                </c:pt>
                <c:pt idx="1">
                  <c:v>2_Mutation</c:v>
                </c:pt>
                <c:pt idx="2">
                  <c:v>3_Mutation</c:v>
                </c:pt>
                <c:pt idx="3">
                  <c:v>4_Mutation</c:v>
                </c:pt>
                <c:pt idx="4">
                  <c:v>AF_4_Mutation</c:v>
                </c:pt>
              </c:strCache>
            </c:strRef>
          </c:cat>
          <c:val>
            <c:numRef>
              <c:f>Sheet3!$B$16:$F$16</c:f>
              <c:numCache>
                <c:formatCode>General</c:formatCode>
                <c:ptCount val="5"/>
                <c:pt idx="0">
                  <c:v>0.246</c:v>
                </c:pt>
                <c:pt idx="1">
                  <c:v>0.27100000000000002</c:v>
                </c:pt>
                <c:pt idx="2">
                  <c:v>0.14899999999999999</c:v>
                </c:pt>
                <c:pt idx="3">
                  <c:v>-0.224</c:v>
                </c:pt>
                <c:pt idx="4">
                  <c:v>-0.28999999999999998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CD-F241-BBAE-8CB7AA2F7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788960"/>
        <c:axId val="968822768"/>
      </c:lineChart>
      <c:catAx>
        <c:axId val="761788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Mutations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822768"/>
        <c:crosses val="autoZero"/>
        <c:auto val="1"/>
        <c:lblAlgn val="ctr"/>
        <c:lblOffset val="100"/>
        <c:noMultiLvlLbl val="0"/>
      </c:catAx>
      <c:valAx>
        <c:axId val="96882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Pearson Correlation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8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Single Mutation from Native Sequence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Single</c:v>
                </c:pt>
              </c:strCache>
            </c:strRef>
          </c:tx>
          <c:spPr>
            <a:solidFill>
              <a:schemeClr val="accent1"/>
            </a:solidFill>
            <a:ln w="3810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381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55-C34C-A88C-32411B7070C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 w="381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B55-C34C-A88C-32411B7070CB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 w="381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55-C34C-A88C-32411B7070CB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 w="381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B55-C34C-A88C-32411B7070CB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 w="381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B55-C34C-A88C-32411B7070CB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 w="381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B55-C34C-A88C-32411B7070CB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 w="381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B55-C34C-A88C-32411B7070CB}"/>
              </c:ext>
            </c:extLst>
          </c:dPt>
          <c:cat>
            <c:strRef>
              <c:f>Sheet2!$B$1:$H$1</c:f>
              <c:strCache>
                <c:ptCount val="7"/>
                <c:pt idx="0">
                  <c:v>2BU1</c:v>
                </c:pt>
                <c:pt idx="1">
                  <c:v>2C4Q</c:v>
                </c:pt>
                <c:pt idx="2">
                  <c:v>2IZM</c:v>
                </c:pt>
                <c:pt idx="3">
                  <c:v>2C51</c:v>
                </c:pt>
                <c:pt idx="4">
                  <c:v>2C50</c:v>
                </c:pt>
                <c:pt idx="5">
                  <c:v>2IZ8</c:v>
                </c:pt>
                <c:pt idx="6">
                  <c:v>2IZN</c:v>
                </c:pt>
              </c:strCache>
            </c:strRef>
          </c:cat>
          <c:val>
            <c:numRef>
              <c:f>Sheet2!$B$2:$H$2</c:f>
              <c:numCache>
                <c:formatCode>General</c:formatCode>
                <c:ptCount val="7"/>
                <c:pt idx="0">
                  <c:v>0.60599999999999998</c:v>
                </c:pt>
                <c:pt idx="1">
                  <c:v>0.69699999999999995</c:v>
                </c:pt>
                <c:pt idx="2">
                  <c:v>0.36599999999999999</c:v>
                </c:pt>
                <c:pt idx="3">
                  <c:v>0.36699999999999999</c:v>
                </c:pt>
                <c:pt idx="4">
                  <c:v>0.105</c:v>
                </c:pt>
                <c:pt idx="5">
                  <c:v>0.29699999999999999</c:v>
                </c:pt>
                <c:pt idx="6">
                  <c:v>9.6000000000000002E-2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5-C34C-A88C-32411B707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9786719"/>
        <c:axId val="1193737983"/>
      </c:barChart>
      <c:catAx>
        <c:axId val="108978671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737983"/>
        <c:crosses val="autoZero"/>
        <c:auto val="1"/>
        <c:lblAlgn val="ctr"/>
        <c:lblOffset val="100"/>
        <c:noMultiLvlLbl val="0"/>
      </c:catAx>
      <c:valAx>
        <c:axId val="119373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Pearson Correlation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8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Double Mutation from</a:t>
            </a:r>
            <a:r>
              <a:rPr lang="en-US" baseline="0"/>
              <a:t> Native Sequence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Double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84-AD4F-85A0-1D67EE02E17D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D84-AD4F-85A0-1D67EE02E17D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D84-AD4F-85A0-1D67EE02E17D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D84-AD4F-85A0-1D67EE02E17D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D84-AD4F-85A0-1D67EE02E17D}"/>
              </c:ext>
            </c:extLst>
          </c:dPt>
          <c:cat>
            <c:strRef>
              <c:f>Sheet2!$B$1:$H$1</c:f>
              <c:strCache>
                <c:ptCount val="7"/>
                <c:pt idx="0">
                  <c:v>2BU1</c:v>
                </c:pt>
                <c:pt idx="1">
                  <c:v>2C4Q</c:v>
                </c:pt>
                <c:pt idx="2">
                  <c:v>2IZM</c:v>
                </c:pt>
                <c:pt idx="3">
                  <c:v>2C51</c:v>
                </c:pt>
                <c:pt idx="4">
                  <c:v>2C50</c:v>
                </c:pt>
                <c:pt idx="5">
                  <c:v>2IZ8</c:v>
                </c:pt>
                <c:pt idx="6">
                  <c:v>2IZN</c:v>
                </c:pt>
              </c:strCache>
            </c:strRef>
          </c:cat>
          <c:val>
            <c:numRef>
              <c:f>Sheet2!$B$3:$H$3</c:f>
              <c:numCache>
                <c:formatCode>General</c:formatCode>
                <c:ptCount val="7"/>
                <c:pt idx="0">
                  <c:v>0.49</c:v>
                </c:pt>
                <c:pt idx="1">
                  <c:v>0.55600000000000005</c:v>
                </c:pt>
                <c:pt idx="2">
                  <c:v>0.47899999999999998</c:v>
                </c:pt>
                <c:pt idx="3">
                  <c:v>0.317</c:v>
                </c:pt>
                <c:pt idx="4">
                  <c:v>6.8000000000000005E-2</c:v>
                </c:pt>
                <c:pt idx="5">
                  <c:v>0.158</c:v>
                </c:pt>
                <c:pt idx="6">
                  <c:v>0.17100000000000001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D84-AD4F-85A0-1D67EE02E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9786719"/>
        <c:axId val="1193737983"/>
      </c:barChart>
      <c:catAx>
        <c:axId val="108978671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737983"/>
        <c:crosses val="autoZero"/>
        <c:auto val="1"/>
        <c:lblAlgn val="ctr"/>
        <c:lblOffset val="100"/>
        <c:noMultiLvlLbl val="0"/>
      </c:catAx>
      <c:valAx>
        <c:axId val="119373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Pearson Correlation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8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Triple Mutation from Native Sequence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Sheet2!$A$4</c:f>
              <c:strCache>
                <c:ptCount val="1"/>
                <c:pt idx="0">
                  <c:v>Triple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F63-0946-8E52-27A701844A22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F63-0946-8E52-27A701844A22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F63-0946-8E52-27A701844A22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F63-0946-8E52-27A701844A22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F63-0946-8E52-27A701844A22}"/>
              </c:ext>
            </c:extLst>
          </c:dPt>
          <c:cat>
            <c:strRef>
              <c:f>Sheet2!$B$1:$H$1</c:f>
              <c:strCache>
                <c:ptCount val="7"/>
                <c:pt idx="0">
                  <c:v>2BU1</c:v>
                </c:pt>
                <c:pt idx="1">
                  <c:v>2C4Q</c:v>
                </c:pt>
                <c:pt idx="2">
                  <c:v>2IZM</c:v>
                </c:pt>
                <c:pt idx="3">
                  <c:v>2C51</c:v>
                </c:pt>
                <c:pt idx="4">
                  <c:v>2C50</c:v>
                </c:pt>
                <c:pt idx="5">
                  <c:v>2IZ8</c:v>
                </c:pt>
                <c:pt idx="6">
                  <c:v>2IZN</c:v>
                </c:pt>
              </c:strCache>
            </c:strRef>
          </c:cat>
          <c:val>
            <c:numRef>
              <c:f>Sheet2!$B$4:$H$4</c:f>
              <c:numCache>
                <c:formatCode>General</c:formatCode>
                <c:ptCount val="7"/>
                <c:pt idx="0">
                  <c:v>0.53400000000000003</c:v>
                </c:pt>
                <c:pt idx="1">
                  <c:v>0.58099999999999996</c:v>
                </c:pt>
                <c:pt idx="2">
                  <c:v>0.22900000000000001</c:v>
                </c:pt>
                <c:pt idx="3">
                  <c:v>0.26900000000000002</c:v>
                </c:pt>
                <c:pt idx="4">
                  <c:v>0.24</c:v>
                </c:pt>
                <c:pt idx="5">
                  <c:v>0.34799999999999998</c:v>
                </c:pt>
                <c:pt idx="6">
                  <c:v>-4.5999999999999999E-2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63-0946-8E52-27A701844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9786719"/>
        <c:axId val="1193737983"/>
      </c:barChart>
      <c:catAx>
        <c:axId val="1089786719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737983"/>
        <c:crosses val="autoZero"/>
        <c:auto val="1"/>
        <c:lblAlgn val="ctr"/>
        <c:lblOffset val="100"/>
        <c:noMultiLvlLbl val="0"/>
      </c:catAx>
      <c:valAx>
        <c:axId val="119373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Pearson Correlation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8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  <cx:data id="3">
      <cx:numDim type="val">
        <cx:f>_xlchart.v1.3</cx:f>
      </cx:numDim>
    </cx:data>
    <cx:data id="4"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600"/>
            </a:pPr>
            <a:r>
              <a:rPr lang="en-US" sz="1600" b="0" i="0" baseline="0">
                <a:effectLst/>
              </a:rPr>
              <a:t>MS2 Complex (Same Protein Seq, Different RNA Seq) - Pearson Correlation</a:t>
            </a:r>
            <a:endParaRPr lang="en-US" sz="1600">
              <a:effectLst/>
            </a:endParaRPr>
          </a:p>
        </cx:rich>
      </cx:tx>
    </cx:title>
    <cx:plotArea>
      <cx:plotAreaRegion>
        <cx:series layoutId="boxWhisker" uniqueId="{9B7E3704-A33C-0147-93DF-0587EF080D92}">
          <cx:tx>
            <cx:txData>
              <cx:f/>
              <cx:v>1-Mutation</cx:v>
            </cx:txData>
          </cx:tx>
          <cx:spPr>
            <a:noFill/>
            <a:ln w="38100">
              <a:solidFill>
                <a:schemeClr val="accent2">
                  <a:lumMod val="75000"/>
                </a:schemeClr>
              </a:solidFill>
            </a:ln>
          </cx:spPr>
          <cx:dataId val="0"/>
          <cx:layoutPr>
            <cx:visibility meanLine="1" meanMarker="1" nonoutliers="1" outliers="1"/>
            <cx:statistics quartileMethod="exclusive"/>
          </cx:layoutPr>
        </cx:series>
        <cx:series layoutId="boxWhisker" uniqueId="{67447C15-0762-D84A-BA83-37CD278A137F}">
          <cx:tx>
            <cx:txData>
              <cx:f/>
              <cx:v>2-Mutation</cx:v>
            </cx:txData>
          </cx:tx>
          <cx:spPr>
            <a:noFill/>
            <a:ln w="38100">
              <a:solidFill>
                <a:schemeClr val="accent3">
                  <a:lumMod val="75000"/>
                </a:schemeClr>
              </a:solidFill>
            </a:ln>
          </cx:spPr>
          <cx:dataId val="1"/>
          <cx:layoutPr>
            <cx:visibility meanLine="1" meanMarker="1" nonoutliers="1" outliers="1"/>
            <cx:statistics quartileMethod="exclusive"/>
          </cx:layoutPr>
        </cx:series>
        <cx:series layoutId="boxWhisker" uniqueId="{0D1F140F-AAB2-0A4D-815A-F8E19798C0F7}">
          <cx:tx>
            <cx:txData>
              <cx:f/>
              <cx:v>3-Mutation</cx:v>
            </cx:txData>
          </cx:tx>
          <cx:spPr>
            <a:noFill/>
            <a:ln w="38100">
              <a:solidFill>
                <a:schemeClr val="accent3">
                  <a:lumMod val="60000"/>
                  <a:lumOff val="40000"/>
                </a:schemeClr>
              </a:solidFill>
            </a:ln>
          </cx:spPr>
          <cx:dataId val="2"/>
          <cx:layoutPr>
            <cx:visibility meanLine="0" meanMarker="1" nonoutliers="1" outliers="1"/>
            <cx:statistics quartileMethod="exclusive"/>
          </cx:layoutPr>
        </cx:series>
        <cx:series layoutId="boxWhisker" uniqueId="{D26C1B8A-3283-7B40-8A76-AF073FAF8CA6}">
          <cx:tx>
            <cx:txData>
              <cx:f/>
              <cx:v>4-Mutation</cx:v>
            </cx:txData>
          </cx:tx>
          <cx:spPr>
            <a:noFill/>
            <a:ln w="38100">
              <a:solidFill>
                <a:schemeClr val="accent5">
                  <a:lumMod val="60000"/>
                  <a:lumOff val="40000"/>
                </a:schemeClr>
              </a:solidFill>
            </a:ln>
          </cx:spPr>
          <cx:dataId val="3"/>
          <cx:layoutPr>
            <cx:visibility meanLine="1" meanMarker="1" nonoutliers="1" outliers="1"/>
            <cx:statistics quartileMethod="exclusive"/>
          </cx:layoutPr>
        </cx:series>
        <cx:series layoutId="boxWhisker" uniqueId="{3AE30111-2DE0-AD4B-8F1F-223340CE4AAE}">
          <cx:tx>
            <cx:txData>
              <cx:f/>
              <cx:v>AF-4-Mutation</cx:v>
            </cx:txData>
          </cx:tx>
          <cx:spPr>
            <a:noFill/>
            <a:ln w="38100">
              <a:solidFill>
                <a:schemeClr val="accent5">
                  <a:lumMod val="75000"/>
                </a:schemeClr>
              </a:solidFill>
            </a:ln>
          </cx:spPr>
          <cx:dataId val="4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_xlchart.v1.6</cx:f>
      </cx:numDim>
    </cx:data>
    <cx:data id="2">
      <cx:numDim type="val">
        <cx:f>_xlchart.v1.7</cx:f>
      </cx:numDim>
    </cx:data>
    <cx:data id="3">
      <cx:numDim type="val">
        <cx:f>_xlchart.v1.8</cx:f>
      </cx:numDim>
    </cx:data>
    <cx:data id="4">
      <cx:numDim type="val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>
              <a:defRPr sz="1600"/>
            </a:pPr>
            <a:r>
              <a:rPr lang="en-US" sz="1600" b="0" i="0" baseline="0">
                <a:effectLst/>
              </a:rPr>
              <a:t>MS2 Complex (Same RNA Seq, Different Protein Seq) - Pearson Correlation</a:t>
            </a:r>
            <a:endParaRPr lang="en-US" sz="1600">
              <a:effectLst/>
            </a:endParaRPr>
          </a:p>
        </cx:rich>
      </cx:tx>
    </cx:title>
    <cx:plotArea>
      <cx:plotAreaRegion>
        <cx:series layoutId="boxWhisker" uniqueId="{54A5B790-AB68-3B41-9CB3-4FC8064EE022}">
          <cx:tx>
            <cx:txData>
              <cx:f/>
              <cx:v>1-Mutation</cx:v>
            </cx:txData>
          </cx:tx>
          <cx:spPr>
            <a:noFill/>
            <a:ln w="38100">
              <a:solidFill>
                <a:schemeClr val="accent2">
                  <a:lumMod val="75000"/>
                </a:schemeClr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DDDF2F65-418E-744F-B90A-14BA6FE91AE1}">
          <cx:tx>
            <cx:txData>
              <cx:f/>
              <cx:v>2-Mutation</cx:v>
            </cx:txData>
          </cx:tx>
          <cx:spPr>
            <a:noFill/>
            <a:ln w="38100">
              <a:solidFill>
                <a:schemeClr val="accent3">
                  <a:lumMod val="75000"/>
                </a:schemeClr>
              </a:solidFill>
            </a:ln>
          </cx:spPr>
          <cx:dataId val="1"/>
          <cx:layoutPr>
            <cx:statistics quartileMethod="exclusive"/>
          </cx:layoutPr>
        </cx:series>
        <cx:series layoutId="boxWhisker" uniqueId="{B311048B-F0FA-3D46-9E60-BF1A91D9740F}">
          <cx:tx>
            <cx:txData>
              <cx:f/>
              <cx:v>3-Mutation</cx:v>
            </cx:txData>
          </cx:tx>
          <cx:spPr>
            <a:noFill/>
            <a:ln w="38100">
              <a:solidFill>
                <a:schemeClr val="accent3">
                  <a:lumMod val="60000"/>
                  <a:lumOff val="40000"/>
                </a:schemeClr>
              </a:solidFill>
            </a:ln>
          </cx:spPr>
          <cx:dataId val="2"/>
          <cx:layoutPr>
            <cx:statistics quartileMethod="exclusive"/>
          </cx:layoutPr>
        </cx:series>
        <cx:series layoutId="boxWhisker" uniqueId="{71E1F2AA-D13D-214D-B8DC-BEBE684DC59B}">
          <cx:tx>
            <cx:txData>
              <cx:f/>
              <cx:v>4-Mutation</cx:v>
            </cx:txData>
          </cx:tx>
          <cx:spPr>
            <a:noFill/>
            <a:ln w="38100">
              <a:solidFill>
                <a:schemeClr val="accent5">
                  <a:lumMod val="40000"/>
                  <a:lumOff val="60000"/>
                </a:schemeClr>
              </a:solidFill>
            </a:ln>
          </cx:spPr>
          <cx:dataId val="3"/>
          <cx:layoutPr>
            <cx:statistics quartileMethod="exclusive"/>
          </cx:layoutPr>
        </cx:series>
        <cx:series layoutId="boxWhisker" uniqueId="{28070EE1-B224-674C-BE06-0B1D9CD03439}">
          <cx:tx>
            <cx:txData>
              <cx:f/>
              <cx:v>AF-4-Mutation</cx:v>
            </cx:txData>
          </cx:tx>
          <cx:spPr>
            <a:noFill/>
            <a:ln w="38100">
              <a:solidFill>
                <a:schemeClr val="accent5">
                  <a:lumMod val="75000"/>
                </a:schemeClr>
              </a:solidFill>
            </a:ln>
          </cx:spPr>
          <cx:dataId val="4"/>
          <cx:layoutPr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6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1600"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595959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sz="900"/>
          </a:p>
        </cx:txPr>
      </cx:axis>
    </cx:plotArea>
    <cx:legend pos="b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rgbClr val="595959"/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endParaRPr lang="en-US" sz="900"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482600</xdr:colOff>
      <xdr:row>0</xdr:row>
      <xdr:rowOff>12700</xdr:rowOff>
    </xdr:from>
    <xdr:to>
      <xdr:col>17</xdr:col>
      <xdr:colOff>508000</xdr:colOff>
      <xdr:row>19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C8241A-904F-54AB-3443-CCEB82522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50800</xdr:colOff>
      <xdr:row>0</xdr:row>
      <xdr:rowOff>0</xdr:rowOff>
    </xdr:from>
    <xdr:to>
      <xdr:col>27</xdr:col>
      <xdr:colOff>802874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CA4DEA-DAC0-8746-84F4-E17B267A3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457200</xdr:colOff>
      <xdr:row>19</xdr:row>
      <xdr:rowOff>190500</xdr:rowOff>
    </xdr:from>
    <xdr:to>
      <xdr:col>17</xdr:col>
      <xdr:colOff>508000</xdr:colOff>
      <xdr:row>40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D5C3F8C6-B88D-7D42-7E35-6F912E97D4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5400" y="4051300"/>
              <a:ext cx="8305800" cy="4114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63500</xdr:colOff>
      <xdr:row>20</xdr:row>
      <xdr:rowOff>54011</xdr:rowOff>
    </xdr:from>
    <xdr:to>
      <xdr:col>27</xdr:col>
      <xdr:colOff>800101</xdr:colOff>
      <xdr:row>40</xdr:row>
      <xdr:rowOff>104811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7EC6572F-CB8E-4740-9A74-74C24F6CD4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62200" y="4118011"/>
              <a:ext cx="8166101" cy="4114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241300</xdr:colOff>
      <xdr:row>12</xdr:row>
      <xdr:rowOff>63500</xdr:rowOff>
    </xdr:from>
    <xdr:to>
      <xdr:col>9</xdr:col>
      <xdr:colOff>177800</xdr:colOff>
      <xdr:row>31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7CB8F6-8575-C989-33C5-611552CB8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558800</xdr:colOff>
      <xdr:row>12</xdr:row>
      <xdr:rowOff>139700</xdr:rowOff>
    </xdr:from>
    <xdr:to>
      <xdr:col>16</xdr:col>
      <xdr:colOff>88900</xdr:colOff>
      <xdr:row>32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A64F1F-4FDB-3E45-ADC6-41B2C743A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13</xdr:row>
      <xdr:rowOff>0</xdr:rowOff>
    </xdr:from>
    <xdr:to>
      <xdr:col>24</xdr:col>
      <xdr:colOff>762000</xdr:colOff>
      <xdr:row>32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6F4097-C344-7E41-B358-40B32FE6D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D215B-C4FC-1D4E-8397-0347E3F8121A}">
  <dimension ref="A1:J35"/>
  <sheetViews>
    <sheetView zoomScale="75" zoomScaleNormal="115" workbookViewId="0">
      <pane xSplit="1" topLeftCell="B1" activePane="topRight" state="frozen"/>
      <selection pane="topRight" activeCell="B14" sqref="B14"/>
    </sheetView>
  </sheetViews>
  <sheetFormatPr baseColWidth="10" defaultRowHeight="16"/>
  <cols>
    <col min="1" max="1" width="18.83203125" bestFit="1" customWidth="1"/>
    <col min="2" max="2" width="178.5" bestFit="1" customWidth="1"/>
    <col min="3" max="3" width="28.33203125" bestFit="1" customWidth="1"/>
    <col min="4" max="4" width="0" hidden="1" customWidth="1"/>
    <col min="5" max="5" width="18.6640625" bestFit="1" customWidth="1"/>
    <col min="9" max="9" width="10.83203125" bestFit="1" customWidth="1"/>
    <col min="10" max="10" width="11.6640625" bestFit="1" customWidth="1"/>
    <col min="11" max="11" width="18.6640625" bestFit="1" customWidth="1"/>
  </cols>
  <sheetData>
    <row r="1" spans="1:10">
      <c r="A1" t="s">
        <v>30</v>
      </c>
      <c r="B1" t="s">
        <v>31</v>
      </c>
      <c r="C1" t="s">
        <v>32</v>
      </c>
      <c r="E1" t="s">
        <v>71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</row>
    <row r="2" spans="1:10" ht="18">
      <c r="A2" s="3" t="s">
        <v>27</v>
      </c>
      <c r="B2" s="1" t="s">
        <v>28</v>
      </c>
      <c r="C2" s="1" t="s">
        <v>29</v>
      </c>
      <c r="D2">
        <f>LEN(C2)</f>
        <v>19</v>
      </c>
      <c r="F2">
        <v>0.60599999999999998</v>
      </c>
      <c r="G2">
        <v>0.49</v>
      </c>
      <c r="H2">
        <v>0.53400000000000003</v>
      </c>
      <c r="I2">
        <v>-0.54700000000000004</v>
      </c>
      <c r="J2">
        <v>5.8999999999999997E-2</v>
      </c>
    </row>
    <row r="3" spans="1:10" ht="18">
      <c r="A3" s="10" t="s">
        <v>0</v>
      </c>
      <c r="B3" s="1" t="s">
        <v>34</v>
      </c>
      <c r="C3" s="1" t="s">
        <v>29</v>
      </c>
      <c r="D3">
        <f t="shared" ref="D3:D30" si="0">LEN(C3)</f>
        <v>19</v>
      </c>
      <c r="F3">
        <v>7.9000000000000001E-2</v>
      </c>
      <c r="G3">
        <v>0.16700000000000001</v>
      </c>
      <c r="H3">
        <v>0.21</v>
      </c>
      <c r="I3">
        <v>7.0000000000000001E-3</v>
      </c>
      <c r="J3">
        <v>-0.29899999999999999</v>
      </c>
    </row>
    <row r="4" spans="1:10" ht="18">
      <c r="A4" t="s">
        <v>1</v>
      </c>
      <c r="B4" s="1" t="s">
        <v>28</v>
      </c>
      <c r="C4" s="1" t="s">
        <v>33</v>
      </c>
      <c r="D4">
        <f t="shared" si="0"/>
        <v>8</v>
      </c>
    </row>
    <row r="5" spans="1:10" ht="18">
      <c r="A5" t="s">
        <v>2</v>
      </c>
      <c r="B5" s="1" t="s">
        <v>28</v>
      </c>
      <c r="C5" s="1" t="s">
        <v>47</v>
      </c>
      <c r="D5">
        <f t="shared" si="0"/>
        <v>19</v>
      </c>
    </row>
    <row r="6" spans="1:10" ht="18">
      <c r="A6" t="s">
        <v>3</v>
      </c>
      <c r="B6" s="1" t="s">
        <v>42</v>
      </c>
      <c r="C6" s="1" t="s">
        <v>35</v>
      </c>
      <c r="D6">
        <f t="shared" si="0"/>
        <v>20</v>
      </c>
    </row>
    <row r="7" spans="1:10" ht="18">
      <c r="A7" s="11" t="s">
        <v>4</v>
      </c>
      <c r="B7" s="1" t="s">
        <v>43</v>
      </c>
      <c r="C7" s="1" t="s">
        <v>29</v>
      </c>
      <c r="D7">
        <f t="shared" si="0"/>
        <v>19</v>
      </c>
    </row>
    <row r="8" spans="1:10" ht="18">
      <c r="A8" s="3" t="s">
        <v>5</v>
      </c>
      <c r="B8" s="1" t="s">
        <v>28</v>
      </c>
      <c r="C8" s="1" t="s">
        <v>36</v>
      </c>
      <c r="D8">
        <f t="shared" si="0"/>
        <v>17</v>
      </c>
      <c r="F8">
        <v>0.08</v>
      </c>
      <c r="G8">
        <v>-9.5000000000000001E-2</v>
      </c>
      <c r="H8">
        <v>-0.26600000000000001</v>
      </c>
      <c r="I8">
        <v>-0.41299999999999998</v>
      </c>
    </row>
    <row r="9" spans="1:10" ht="18">
      <c r="A9" s="10" t="s">
        <v>6</v>
      </c>
      <c r="B9" s="1" t="s">
        <v>44</v>
      </c>
      <c r="C9" s="1" t="s">
        <v>29</v>
      </c>
      <c r="D9">
        <f t="shared" si="0"/>
        <v>19</v>
      </c>
      <c r="F9">
        <v>0.114</v>
      </c>
      <c r="G9">
        <v>0.23</v>
      </c>
      <c r="H9">
        <v>0.224</v>
      </c>
      <c r="I9">
        <v>-5.2999999999999999E-2</v>
      </c>
      <c r="J9">
        <v>-0.36099999999999999</v>
      </c>
    </row>
    <row r="10" spans="1:10" ht="18">
      <c r="A10" s="3" t="s">
        <v>7</v>
      </c>
      <c r="B10" s="1" t="s">
        <v>28</v>
      </c>
      <c r="C10" s="1" t="s">
        <v>29</v>
      </c>
      <c r="D10">
        <f t="shared" si="0"/>
        <v>19</v>
      </c>
      <c r="F10">
        <v>0.69699999999999995</v>
      </c>
      <c r="G10">
        <v>0.55600000000000005</v>
      </c>
      <c r="H10">
        <v>0.58099999999999996</v>
      </c>
      <c r="I10">
        <v>-0.47799999999999998</v>
      </c>
      <c r="J10">
        <v>-0.17399999999999999</v>
      </c>
    </row>
    <row r="11" spans="1:10" ht="18">
      <c r="A11" s="11" t="s">
        <v>8</v>
      </c>
      <c r="B11" s="1" t="s">
        <v>28</v>
      </c>
      <c r="C11" s="1" t="s">
        <v>29</v>
      </c>
      <c r="D11">
        <f t="shared" si="0"/>
        <v>19</v>
      </c>
    </row>
    <row r="12" spans="1:10" ht="18">
      <c r="A12" s="11" t="s">
        <v>9</v>
      </c>
      <c r="B12" s="1" t="s">
        <v>28</v>
      </c>
      <c r="C12" s="1" t="s">
        <v>29</v>
      </c>
      <c r="D12">
        <f t="shared" si="0"/>
        <v>19</v>
      </c>
    </row>
    <row r="13" spans="1:10" ht="18">
      <c r="A13" t="s">
        <v>10</v>
      </c>
      <c r="B13" s="1" t="s">
        <v>45</v>
      </c>
      <c r="C13" s="1" t="s">
        <v>37</v>
      </c>
      <c r="D13">
        <f t="shared" si="0"/>
        <v>20</v>
      </c>
    </row>
    <row r="14" spans="1:10" ht="18">
      <c r="A14" s="10" t="s">
        <v>11</v>
      </c>
      <c r="B14" s="1" t="s">
        <v>28</v>
      </c>
      <c r="C14" s="1" t="s">
        <v>29</v>
      </c>
      <c r="D14">
        <f t="shared" si="0"/>
        <v>19</v>
      </c>
      <c r="F14">
        <v>0.2</v>
      </c>
      <c r="G14">
        <v>0.23799999999999999</v>
      </c>
      <c r="H14">
        <v>-2E-3</v>
      </c>
      <c r="I14">
        <v>-0.17100000000000001</v>
      </c>
      <c r="J14">
        <v>-0.36099999999999999</v>
      </c>
    </row>
    <row r="15" spans="1:10" ht="18">
      <c r="A15" t="s">
        <v>12</v>
      </c>
      <c r="B15" s="1" t="s">
        <v>28</v>
      </c>
      <c r="C15" s="1" t="s">
        <v>47</v>
      </c>
      <c r="D15">
        <f t="shared" si="0"/>
        <v>19</v>
      </c>
    </row>
    <row r="16" spans="1:10" ht="18">
      <c r="A16" t="s">
        <v>13</v>
      </c>
      <c r="B16" s="1" t="s">
        <v>34</v>
      </c>
      <c r="C16" s="1" t="s">
        <v>35</v>
      </c>
      <c r="D16">
        <f t="shared" si="0"/>
        <v>20</v>
      </c>
    </row>
    <row r="17" spans="1:10" ht="18">
      <c r="A17" s="10" t="s">
        <v>14</v>
      </c>
      <c r="B17" s="1" t="s">
        <v>28</v>
      </c>
      <c r="C17" s="1" t="s">
        <v>29</v>
      </c>
      <c r="D17">
        <f t="shared" si="0"/>
        <v>19</v>
      </c>
      <c r="F17">
        <v>0.28699999999999998</v>
      </c>
      <c r="G17">
        <v>0.28199999999999997</v>
      </c>
      <c r="H17">
        <v>0.17399999999999999</v>
      </c>
      <c r="I17">
        <v>-0.30299999999999999</v>
      </c>
      <c r="J17">
        <v>-0.26700000000000002</v>
      </c>
    </row>
    <row r="18" spans="1:10" ht="18">
      <c r="A18" s="3" t="s">
        <v>15</v>
      </c>
      <c r="B18" s="1" t="s">
        <v>28</v>
      </c>
      <c r="C18" s="1" t="s">
        <v>48</v>
      </c>
      <c r="D18">
        <f t="shared" si="0"/>
        <v>19</v>
      </c>
      <c r="F18">
        <v>0.36599999999999999</v>
      </c>
      <c r="G18">
        <v>0.47899999999999998</v>
      </c>
      <c r="H18">
        <v>0.55400000000000005</v>
      </c>
    </row>
    <row r="19" spans="1:10" ht="18">
      <c r="A19" s="3" t="s">
        <v>16</v>
      </c>
      <c r="B19" s="1" t="s">
        <v>28</v>
      </c>
      <c r="C19" s="1" t="s">
        <v>49</v>
      </c>
      <c r="D19">
        <f t="shared" si="0"/>
        <v>19</v>
      </c>
      <c r="F19">
        <v>9.6000000000000002E-2</v>
      </c>
      <c r="G19">
        <v>0.17100000000000001</v>
      </c>
      <c r="H19">
        <v>-0.496</v>
      </c>
    </row>
    <row r="20" spans="1:10" ht="18">
      <c r="A20" t="s">
        <v>17</v>
      </c>
      <c r="B20" s="1" t="s">
        <v>45</v>
      </c>
      <c r="C20" s="1" t="s">
        <v>35</v>
      </c>
      <c r="D20">
        <f t="shared" si="0"/>
        <v>20</v>
      </c>
    </row>
    <row r="21" spans="1:10" ht="18">
      <c r="A21" s="2" t="s">
        <v>18</v>
      </c>
      <c r="B21" s="1" t="s">
        <v>28</v>
      </c>
      <c r="C21" s="1" t="s">
        <v>38</v>
      </c>
      <c r="D21">
        <f t="shared" si="0"/>
        <v>14</v>
      </c>
    </row>
    <row r="22" spans="1:10" ht="18">
      <c r="A22" s="10" t="s">
        <v>19</v>
      </c>
      <c r="B22" s="1" t="s">
        <v>42</v>
      </c>
      <c r="C22" s="1" t="s">
        <v>29</v>
      </c>
      <c r="D22">
        <f t="shared" si="0"/>
        <v>19</v>
      </c>
      <c r="F22">
        <v>7.5999999999999998E-2</v>
      </c>
      <c r="G22">
        <v>0.161</v>
      </c>
      <c r="H22">
        <v>0.17299999999999999</v>
      </c>
      <c r="I22">
        <v>-3.3000000000000002E-2</v>
      </c>
      <c r="J22">
        <v>-0.34699999999999998</v>
      </c>
    </row>
    <row r="23" spans="1:10" ht="18">
      <c r="A23" t="s">
        <v>20</v>
      </c>
      <c r="B23" s="1" t="s">
        <v>46</v>
      </c>
      <c r="D23">
        <f t="shared" si="0"/>
        <v>0</v>
      </c>
    </row>
    <row r="24" spans="1:10" ht="18">
      <c r="A24" s="3" t="s">
        <v>21</v>
      </c>
      <c r="B24" s="1" t="s">
        <v>28</v>
      </c>
      <c r="C24" s="1" t="s">
        <v>50</v>
      </c>
      <c r="D24">
        <f t="shared" si="0"/>
        <v>19</v>
      </c>
      <c r="F24">
        <v>0.36699999999999999</v>
      </c>
      <c r="G24">
        <v>0.317</v>
      </c>
      <c r="H24">
        <v>0.26900000000000002</v>
      </c>
    </row>
    <row r="25" spans="1:10" ht="18">
      <c r="A25" s="3" t="s">
        <v>22</v>
      </c>
      <c r="B25" s="1" t="s">
        <v>28</v>
      </c>
      <c r="C25" s="1" t="s">
        <v>51</v>
      </c>
      <c r="D25">
        <f t="shared" si="0"/>
        <v>19</v>
      </c>
      <c r="F25">
        <v>0.105</v>
      </c>
      <c r="G25">
        <v>6.8000000000000005E-2</v>
      </c>
      <c r="H25">
        <v>0.24</v>
      </c>
    </row>
    <row r="26" spans="1:10" ht="18">
      <c r="A26" s="10" t="s">
        <v>23</v>
      </c>
      <c r="B26" s="1" t="s">
        <v>45</v>
      </c>
      <c r="C26" s="1" t="s">
        <v>29</v>
      </c>
      <c r="D26">
        <f t="shared" si="0"/>
        <v>19</v>
      </c>
      <c r="F26">
        <v>0.246</v>
      </c>
      <c r="G26">
        <v>0.27100000000000002</v>
      </c>
      <c r="H26">
        <v>0.14899999999999999</v>
      </c>
      <c r="I26">
        <v>-0.224</v>
      </c>
      <c r="J26">
        <v>-0.28999999999999998</v>
      </c>
    </row>
    <row r="27" spans="1:10" ht="18">
      <c r="A27" s="2" t="s">
        <v>24</v>
      </c>
      <c r="B27" s="1" t="s">
        <v>28</v>
      </c>
      <c r="C27" s="1" t="s">
        <v>39</v>
      </c>
      <c r="D27">
        <f t="shared" si="0"/>
        <v>18</v>
      </c>
    </row>
    <row r="28" spans="1:10" ht="18">
      <c r="A28" s="2" t="s">
        <v>25</v>
      </c>
      <c r="B28" s="1" t="s">
        <v>28</v>
      </c>
      <c r="C28" s="1" t="s">
        <v>40</v>
      </c>
      <c r="D28">
        <f t="shared" si="0"/>
        <v>14</v>
      </c>
    </row>
    <row r="29" spans="1:10" ht="18">
      <c r="B29" s="1"/>
      <c r="C29" s="1" t="s">
        <v>41</v>
      </c>
    </row>
    <row r="30" spans="1:10" ht="18">
      <c r="A30" s="3" t="s">
        <v>26</v>
      </c>
      <c r="B30" s="1" t="s">
        <v>28</v>
      </c>
      <c r="C30" s="1" t="s">
        <v>52</v>
      </c>
      <c r="D30">
        <f t="shared" si="0"/>
        <v>19</v>
      </c>
      <c r="F30">
        <v>0.29699999999999999</v>
      </c>
      <c r="G30">
        <v>0.158</v>
      </c>
      <c r="H30">
        <v>0.34799999999999998</v>
      </c>
    </row>
    <row r="34" spans="1:2">
      <c r="A34" s="11"/>
      <c r="B34" t="s">
        <v>65</v>
      </c>
    </row>
    <row r="35" spans="1:2">
      <c r="A35" s="2"/>
      <c r="B35" t="s">
        <v>65</v>
      </c>
    </row>
  </sheetData>
  <conditionalFormatting sqref="B3:B30">
    <cfRule type="cellIs" dxfId="5" priority="5" operator="equal">
      <formula>$B$2</formula>
    </cfRule>
  </conditionalFormatting>
  <conditionalFormatting sqref="C3:C5">
    <cfRule type="cellIs" dxfId="4" priority="6" operator="equal">
      <formula>$C$2</formula>
    </cfRule>
  </conditionalFormatting>
  <conditionalFormatting sqref="C4:C30">
    <cfRule type="cellIs" dxfId="3" priority="3" operator="equal">
      <formula>$C$2</formula>
    </cfRule>
    <cfRule type="cellIs" dxfId="2" priority="4" operator="equal">
      <formula>$C$2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384F-4AD1-4F4B-9A5A-F83ECC607AD8}">
  <dimension ref="A1:F25"/>
  <sheetViews>
    <sheetView tabSelected="1" zoomScaleNormal="100" workbookViewId="0">
      <selection activeCell="F3" sqref="F3"/>
    </sheetView>
  </sheetViews>
  <sheetFormatPr baseColWidth="10" defaultRowHeight="16"/>
  <cols>
    <col min="1" max="1" width="12.6640625" bestFit="1" customWidth="1"/>
  </cols>
  <sheetData>
    <row r="1" spans="1:6">
      <c r="B1" t="s">
        <v>66</v>
      </c>
      <c r="C1" t="s">
        <v>67</v>
      </c>
      <c r="D1" t="s">
        <v>68</v>
      </c>
      <c r="E1" t="s">
        <v>69</v>
      </c>
      <c r="F1" t="s">
        <v>88</v>
      </c>
    </row>
    <row r="2" spans="1:6">
      <c r="A2" s="3" t="s">
        <v>77</v>
      </c>
      <c r="B2">
        <v>0.60599999999999998</v>
      </c>
      <c r="C2">
        <v>0.49</v>
      </c>
      <c r="D2">
        <v>0.53400000000000003</v>
      </c>
      <c r="E2">
        <v>-0.54700000000000004</v>
      </c>
      <c r="F2">
        <v>-0.16200000000000001</v>
      </c>
    </row>
    <row r="3" spans="1:6">
      <c r="A3" s="3" t="s">
        <v>75</v>
      </c>
      <c r="B3">
        <v>0.08</v>
      </c>
      <c r="C3">
        <v>-9.5000000000000001E-2</v>
      </c>
      <c r="D3">
        <v>-0.26600000000000001</v>
      </c>
      <c r="E3">
        <v>-0.41299999999999998</v>
      </c>
      <c r="F3">
        <v>-0.12</v>
      </c>
    </row>
    <row r="4" spans="1:6">
      <c r="A4" s="3" t="s">
        <v>78</v>
      </c>
      <c r="B4">
        <v>0.69699999999999995</v>
      </c>
      <c r="C4">
        <v>0.55600000000000005</v>
      </c>
      <c r="D4">
        <v>0.58099999999999996</v>
      </c>
      <c r="E4">
        <v>-0.47799999999999998</v>
      </c>
      <c r="F4">
        <v>-0.17399999999999999</v>
      </c>
    </row>
    <row r="5" spans="1:6">
      <c r="A5" s="3" t="s">
        <v>81</v>
      </c>
      <c r="B5">
        <v>0.36599999999999999</v>
      </c>
      <c r="C5">
        <v>0.47899999999999998</v>
      </c>
      <c r="D5">
        <v>0.55400000000000005</v>
      </c>
      <c r="E5">
        <v>-0.38800000000000001</v>
      </c>
      <c r="F5">
        <v>-0.248</v>
      </c>
    </row>
    <row r="6" spans="1:6">
      <c r="A6" s="3" t="s">
        <v>82</v>
      </c>
      <c r="B6">
        <v>9.6000000000000002E-2</v>
      </c>
      <c r="C6">
        <v>0.17100000000000001</v>
      </c>
      <c r="D6">
        <v>-4.5999999999999999E-2</v>
      </c>
      <c r="E6">
        <v>-0.14599999999999999</v>
      </c>
      <c r="F6">
        <v>-0.17699999999999999</v>
      </c>
    </row>
    <row r="7" spans="1:6">
      <c r="A7" s="3" t="s">
        <v>85</v>
      </c>
      <c r="B7">
        <v>0.36699999999999999</v>
      </c>
      <c r="C7">
        <v>0.317</v>
      </c>
      <c r="D7">
        <v>0.26900000000000002</v>
      </c>
      <c r="E7">
        <v>-0.26</v>
      </c>
      <c r="F7">
        <v>-0.24299999999999999</v>
      </c>
    </row>
    <row r="8" spans="1:6">
      <c r="A8" s="3" t="s">
        <v>86</v>
      </c>
      <c r="B8">
        <v>0.105</v>
      </c>
      <c r="C8">
        <v>6.8000000000000005E-2</v>
      </c>
      <c r="D8">
        <v>0.24</v>
      </c>
      <c r="E8">
        <v>-0.214</v>
      </c>
      <c r="F8">
        <v>-0.109</v>
      </c>
    </row>
    <row r="9" spans="1:6">
      <c r="A9" s="3" t="s">
        <v>87</v>
      </c>
      <c r="B9">
        <v>0.29699999999999999</v>
      </c>
      <c r="C9">
        <v>0.158</v>
      </c>
      <c r="D9">
        <v>0.34799999999999998</v>
      </c>
      <c r="E9">
        <v>-0.45300000000000001</v>
      </c>
      <c r="F9">
        <v>-0.245</v>
      </c>
    </row>
    <row r="11" spans="1:6">
      <c r="A11" s="10" t="s">
        <v>74</v>
      </c>
      <c r="B11">
        <v>7.9000000000000001E-2</v>
      </c>
      <c r="C11">
        <v>0.16700000000000001</v>
      </c>
      <c r="D11">
        <v>0.21</v>
      </c>
      <c r="E11">
        <v>7.0000000000000001E-3</v>
      </c>
      <c r="F11">
        <v>-0.29899999999999999</v>
      </c>
    </row>
    <row r="12" spans="1:6">
      <c r="A12" s="10" t="s">
        <v>76</v>
      </c>
      <c r="B12">
        <v>0.114</v>
      </c>
      <c r="C12">
        <v>0.23</v>
      </c>
      <c r="D12">
        <v>0.224</v>
      </c>
      <c r="E12">
        <v>-5.2999999999999999E-2</v>
      </c>
      <c r="F12">
        <v>-0.36099999999999999</v>
      </c>
    </row>
    <row r="13" spans="1:6">
      <c r="A13" s="10" t="s">
        <v>79</v>
      </c>
      <c r="B13">
        <v>0.20899999999999999</v>
      </c>
      <c r="C13">
        <v>0.215</v>
      </c>
      <c r="D13">
        <v>0.13</v>
      </c>
      <c r="E13">
        <v>-0.23200000000000001</v>
      </c>
      <c r="F13">
        <v>-0.28499999999999998</v>
      </c>
    </row>
    <row r="14" spans="1:6">
      <c r="A14" s="10" t="s">
        <v>80</v>
      </c>
      <c r="B14">
        <v>0.28699999999999998</v>
      </c>
      <c r="C14">
        <v>0.28199999999999997</v>
      </c>
      <c r="D14">
        <v>0.17399999999999999</v>
      </c>
      <c r="E14">
        <v>-0.30299999999999999</v>
      </c>
      <c r="F14">
        <v>-0.26700000000000002</v>
      </c>
    </row>
    <row r="15" spans="1:6">
      <c r="A15" s="10" t="s">
        <v>83</v>
      </c>
      <c r="B15">
        <v>7.5999999999999998E-2</v>
      </c>
      <c r="C15">
        <v>0.161</v>
      </c>
      <c r="D15">
        <v>0.17299999999999999</v>
      </c>
      <c r="E15">
        <v>-3.3000000000000002E-2</v>
      </c>
      <c r="F15">
        <v>-0.34699999999999998</v>
      </c>
    </row>
    <row r="16" spans="1:6">
      <c r="A16" s="10" t="s">
        <v>84</v>
      </c>
      <c r="B16">
        <v>0.246</v>
      </c>
      <c r="C16">
        <v>0.27100000000000002</v>
      </c>
      <c r="D16">
        <v>0.14899999999999999</v>
      </c>
      <c r="E16">
        <v>-0.224</v>
      </c>
      <c r="F16">
        <v>-0.28999999999999998</v>
      </c>
    </row>
    <row r="18" spans="1:6">
      <c r="A18" s="3"/>
      <c r="B18" t="s">
        <v>72</v>
      </c>
    </row>
    <row r="19" spans="1:6">
      <c r="A19" s="10"/>
      <c r="B19" t="s">
        <v>73</v>
      </c>
    </row>
    <row r="22" spans="1:6">
      <c r="A22" s="3" t="s">
        <v>77</v>
      </c>
      <c r="B22">
        <v>0.60599999999999998</v>
      </c>
      <c r="C22">
        <v>0.49</v>
      </c>
      <c r="D22">
        <v>0.53400000000000003</v>
      </c>
      <c r="E22">
        <v>-0.54700000000000004</v>
      </c>
      <c r="F22">
        <v>5.8999999999999997E-2</v>
      </c>
    </row>
    <row r="23" spans="1:6">
      <c r="A23" s="3" t="s">
        <v>78</v>
      </c>
      <c r="B23">
        <v>0.69699999999999995</v>
      </c>
      <c r="C23">
        <v>0.55600000000000005</v>
      </c>
      <c r="D23">
        <v>0.58099999999999996</v>
      </c>
      <c r="E23">
        <v>-0.47799999999999998</v>
      </c>
      <c r="F23">
        <v>-0.17399999999999999</v>
      </c>
    </row>
    <row r="24" spans="1:6">
      <c r="A24" s="10" t="s">
        <v>79</v>
      </c>
      <c r="B24">
        <v>0.20899999999999999</v>
      </c>
      <c r="C24">
        <v>0.215</v>
      </c>
      <c r="D24">
        <v>0.13</v>
      </c>
      <c r="E24">
        <v>-0.23200000000000001</v>
      </c>
      <c r="F24">
        <v>-0.28499999999999998</v>
      </c>
    </row>
    <row r="25" spans="1:6">
      <c r="A25" s="10" t="s">
        <v>80</v>
      </c>
      <c r="B25">
        <v>0.28699999999999998</v>
      </c>
      <c r="C25">
        <v>0.28199999999999997</v>
      </c>
      <c r="D25">
        <v>0.17399999999999999</v>
      </c>
      <c r="E25">
        <v>-0.30299999999999999</v>
      </c>
      <c r="F25">
        <v>-0.26700000000000002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CFA5-C9A2-3146-8E5C-F15C97926032}">
  <dimension ref="A1:L8"/>
  <sheetViews>
    <sheetView topLeftCell="D1" workbookViewId="0">
      <selection activeCell="P12" sqref="P12"/>
    </sheetView>
  </sheetViews>
  <sheetFormatPr baseColWidth="10" defaultRowHeight="16"/>
  <cols>
    <col min="12" max="12" width="27" bestFit="1" customWidth="1"/>
  </cols>
  <sheetData>
    <row r="1" spans="1:12"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K1" s="6" t="s">
        <v>60</v>
      </c>
      <c r="L1" s="7" t="s">
        <v>61</v>
      </c>
    </row>
    <row r="2" spans="1:12" ht="18">
      <c r="A2" t="s">
        <v>62</v>
      </c>
      <c r="B2">
        <v>0.60599999999999998</v>
      </c>
      <c r="C2">
        <v>0.69699999999999995</v>
      </c>
      <c r="D2">
        <v>0.36599999999999999</v>
      </c>
      <c r="E2">
        <v>0.36699999999999999</v>
      </c>
      <c r="F2">
        <v>0.105</v>
      </c>
      <c r="G2">
        <v>0.29699999999999999</v>
      </c>
      <c r="H2">
        <v>9.6000000000000002E-2</v>
      </c>
      <c r="K2" s="4" t="s">
        <v>53</v>
      </c>
      <c r="L2" s="8" t="s">
        <v>29</v>
      </c>
    </row>
    <row r="3" spans="1:12" ht="18">
      <c r="A3" t="s">
        <v>63</v>
      </c>
      <c r="B3">
        <v>0.49</v>
      </c>
      <c r="C3">
        <v>0.55600000000000005</v>
      </c>
      <c r="D3">
        <v>0.47899999999999998</v>
      </c>
      <c r="E3">
        <v>0.317</v>
      </c>
      <c r="F3">
        <v>6.8000000000000005E-2</v>
      </c>
      <c r="G3">
        <v>0.158</v>
      </c>
      <c r="H3">
        <v>0.17100000000000001</v>
      </c>
      <c r="K3" s="4" t="s">
        <v>54</v>
      </c>
      <c r="L3" s="8" t="s">
        <v>29</v>
      </c>
    </row>
    <row r="4" spans="1:12" ht="18">
      <c r="A4" t="s">
        <v>64</v>
      </c>
      <c r="B4">
        <v>0.53400000000000003</v>
      </c>
      <c r="C4">
        <v>0.58099999999999996</v>
      </c>
      <c r="D4">
        <v>0.22900000000000001</v>
      </c>
      <c r="E4">
        <v>0.26900000000000002</v>
      </c>
      <c r="F4">
        <v>0.24</v>
      </c>
      <c r="G4">
        <v>0.34799999999999998</v>
      </c>
      <c r="H4">
        <v>-4.5999999999999999E-2</v>
      </c>
      <c r="K4" s="4" t="s">
        <v>55</v>
      </c>
      <c r="L4" s="8" t="s">
        <v>48</v>
      </c>
    </row>
    <row r="5" spans="1:12" ht="18">
      <c r="K5" s="4" t="s">
        <v>56</v>
      </c>
      <c r="L5" s="8" t="s">
        <v>50</v>
      </c>
    </row>
    <row r="6" spans="1:12" ht="18">
      <c r="K6" s="4" t="s">
        <v>57</v>
      </c>
      <c r="L6" s="8" t="s">
        <v>51</v>
      </c>
    </row>
    <row r="7" spans="1:12" ht="18">
      <c r="K7" s="4" t="s">
        <v>58</v>
      </c>
      <c r="L7" s="8" t="s">
        <v>52</v>
      </c>
    </row>
    <row r="8" spans="1:12" ht="18">
      <c r="K8" s="5" t="s">
        <v>59</v>
      </c>
      <c r="L8" s="9" t="s">
        <v>49</v>
      </c>
    </row>
  </sheetData>
  <conditionalFormatting sqref="L3:L8">
    <cfRule type="cellIs" dxfId="1" priority="1" operator="equal">
      <formula>$C$2</formula>
    </cfRule>
    <cfRule type="cellIs" dxfId="0" priority="2" operator="equal">
      <formula>$C$2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Cisneros</dc:creator>
  <cp:lastModifiedBy>Eduardo Cisneros</cp:lastModifiedBy>
  <dcterms:created xsi:type="dcterms:W3CDTF">2024-05-24T17:42:42Z</dcterms:created>
  <dcterms:modified xsi:type="dcterms:W3CDTF">2024-07-15T19:00:18Z</dcterms:modified>
</cp:coreProperties>
</file>